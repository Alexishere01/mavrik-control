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<sst xmlns="http://schemas.openxmlformats.org/spreadsheetml/2006/main" count="526" uniqueCount="359">
  <si>
    <t>PteroSim Aircraft Integration: Required Parameters</t>
  </si>
  <si>
    <t>Fill in "Your Value" column. Leave blank if unknown. (*) = critical. Skip sections marked "if applicable".</t>
  </si>
  <si>
    <t>#</t>
  </si>
  <si>
    <t>Parameter</t>
  </si>
  <si>
    <t>Unit</t>
  </si>
  <si>
    <t>Your Value</t>
  </si>
  <si>
    <t>Notes</t>
  </si>
  <si>
    <t>1. General</t>
  </si>
  <si>
    <t>x</t>
  </si>
  <si>
    <t>y</t>
  </si>
  <si>
    <t>z</t>
  </si>
  <si>
    <t>Aircraft name / designation *</t>
  </si>
  <si>
    <t>Team 1</t>
  </si>
  <si>
    <t>Origin</t>
  </si>
  <si>
    <t>Aircraft type *</t>
  </si>
  <si>
    <t>"Hybrid tilt rotor VTOL"</t>
  </si>
  <si>
    <t>Multirotor, QuadPlane, Tiltrotor, Fixed Wing, etc.</t>
  </si>
  <si>
    <t>Configuration summary *</t>
  </si>
  <si>
    <t>2 VTOL rotors + 2 Tilt Rotors +1 Pusher + 1 Wing</t>
  </si>
  <si>
    <t>e.g. "6 VTOL rotors + 1 pusher + wing", "Quadrotor", "Tandem tiltrotor"</t>
  </si>
  <si>
    <t>CG Unload</t>
  </si>
  <si>
    <t>Autopilot system</t>
  </si>
  <si>
    <t>ArduPilot</t>
  </si>
  <si>
    <t>PX4, ArduPilot, custom, none</t>
  </si>
  <si>
    <t>Motor 1</t>
  </si>
  <si>
    <t>Data source</t>
  </si>
  <si>
    <t>CAD / DATCOM Calculator</t>
  </si>
  <si>
    <t>CAD, spec sheet, flight test, manufacturer datasheet, etc.</t>
  </si>
  <si>
    <t>Motor 2</t>
  </si>
  <si>
    <t>2. Geometry</t>
  </si>
  <si>
    <t>Motor 3</t>
  </si>
  <si>
    <t>Overall length *</t>
  </si>
  <si>
    <t>m</t>
  </si>
  <si>
    <t>Nose to tail</t>
  </si>
  <si>
    <t>Motor 4</t>
  </si>
  <si>
    <t>Overall width *</t>
  </si>
  <si>
    <t>end of motor-to-motor</t>
  </si>
  <si>
    <t>Motor 5</t>
  </si>
  <si>
    <t>N/A</t>
  </si>
  <si>
    <t>Overall height</t>
  </si>
  <si>
    <t>From stand to tip of T-tail</t>
  </si>
  <si>
    <t>Battery</t>
  </si>
  <si>
    <t>2a. Wing (if applicable)</t>
  </si>
  <si>
    <t>Stand</t>
  </si>
  <si>
    <t>Wingspan</t>
  </si>
  <si>
    <t>Payload 1 CM</t>
  </si>
  <si>
    <t>Wing area</t>
  </si>
  <si>
    <t>m²</t>
  </si>
  <si>
    <t>Total planform area</t>
  </si>
  <si>
    <t>COM</t>
  </si>
  <si>
    <t>Payload 2 CM</t>
  </si>
  <si>
    <t>Mean aerodynamic chord (MAC)</t>
  </si>
  <si>
    <t>area / span if not known</t>
  </si>
  <si>
    <t>Payload 3 CM</t>
  </si>
  <si>
    <t>Wing airfoil</t>
  </si>
  <si>
    <t>S1223</t>
  </si>
  <si>
    <t>e.g. NACA 2412, Clark Y, custom</t>
  </si>
  <si>
    <t>Wing incidence angle</t>
  </si>
  <si>
    <t>deg</t>
  </si>
  <si>
    <t>Wing chord relative to fuselage datum</t>
  </si>
  <si>
    <t>2b. Tail (if applicable)</t>
  </si>
  <si>
    <t>Tail type</t>
  </si>
  <si>
    <t>T-tail NACA 0009</t>
  </si>
  <si>
    <t>Conventional, T-tail, V-tail, none</t>
  </si>
  <si>
    <t>Horizontal tail area</t>
  </si>
  <si>
    <t>Horizontal tail arm</t>
  </si>
  <si>
    <t>Wing AC to tail AC distance</t>
  </si>
  <si>
    <t>Vertical tail area</t>
  </si>
  <si>
    <t>Vertical tail arm</t>
  </si>
  <si>
    <t>CG to vertical tail AC</t>
  </si>
  <si>
    <t>2c. Reference points NO PAYLOAD</t>
  </si>
  <si>
    <t>Aerodynamic reference point (X)</t>
  </si>
  <si>
    <r>
      <rPr>
        <rFont val="Arial"/>
        <color rgb="FFFF0000"/>
        <sz val="11.0"/>
      </rPr>
      <t>CG when there is no payload</t>
    </r>
    <r>
      <rPr>
        <rFont val="Arial"/>
        <color theme="1"/>
        <sz val="11.0"/>
      </rPr>
      <t>.</t>
    </r>
  </si>
  <si>
    <t>Aerodynamic reference point (Y)</t>
  </si>
  <si>
    <t>Aerodynamic reference point (Z)</t>
  </si>
  <si>
    <t>Eye point (X)</t>
  </si>
  <si>
    <t>Pilot/camera view position relative to CG</t>
  </si>
  <si>
    <t>Eye point (Y)</t>
  </si>
  <si>
    <t>Eye point (Z)</t>
  </si>
  <si>
    <t>Visual reference point (X)</t>
  </si>
  <si>
    <t>Origin of 3D model coordinate system</t>
  </si>
  <si>
    <t>Visual reference point (Y)</t>
  </si>
  <si>
    <t>Visual reference point (Z)</t>
  </si>
  <si>
    <t>3. Mass properties</t>
  </si>
  <si>
    <t>Empty weight (no battery, no payload) *</t>
  </si>
  <si>
    <t>kg</t>
  </si>
  <si>
    <t>Structural weight only</t>
  </si>
  <si>
    <t>Battery weight *</t>
  </si>
  <si>
    <t>Per battery</t>
  </si>
  <si>
    <t>Number of batteries</t>
  </si>
  <si>
    <t>Battery capacity</t>
  </si>
  <si>
    <t>Wh</t>
  </si>
  <si>
    <t>Battery location (X)</t>
  </si>
  <si>
    <t>Relative to CG</t>
  </si>
  <si>
    <t>Battery location (Y)</t>
  </si>
  <si>
    <t>Battery location (Z)</t>
  </si>
  <si>
    <t>MTOW *</t>
  </si>
  <si>
    <t>Typical Operating Weight + Max Payload</t>
  </si>
  <si>
    <t>Typical operating weight</t>
  </si>
  <si>
    <t>Normal flight config (Current Model weight)</t>
  </si>
  <si>
    <t>Max payload</t>
  </si>
  <si>
    <t>110 lbs</t>
  </si>
  <si>
    <t>CG location (X) *</t>
  </si>
  <si>
    <t>Relative to the origin (0, 0, 0) (UNLOADED)</t>
  </si>
  <si>
    <t>CG location (Y) *</t>
  </si>
  <si>
    <t>CG location (Z) *</t>
  </si>
  <si>
    <t>Ixx (roll) *</t>
  </si>
  <si>
    <t>kg·m²</t>
  </si>
  <si>
    <t>From CAD (About CM)</t>
  </si>
  <si>
    <t>Iyy (pitch) *</t>
  </si>
  <si>
    <t>Izz (yaw) *</t>
  </si>
  <si>
    <t>Ixz</t>
  </si>
  <si>
    <t>0 if symmetric</t>
  </si>
  <si>
    <t>4. Motors</t>
  </si>
  <si>
    <t>Total number of motors *</t>
  </si>
  <si>
    <t>All motors (VTOL + cruise if separate)</t>
  </si>
  <si>
    <t>Motor type *</t>
  </si>
  <si>
    <t>Brushless DC</t>
  </si>
  <si>
    <t>Brushless DC, electric, piston, turbine</t>
  </si>
  <si>
    <t>4a. Brushless DC motors (most common for UAVs)</t>
  </si>
  <si>
    <t>Motor KV *</t>
  </si>
  <si>
    <t>RPM/V</t>
  </si>
  <si>
    <t>Velocity constant. Same for all or specify per group</t>
  </si>
  <si>
    <t>Battery voltage *</t>
  </si>
  <si>
    <t>V</t>
  </si>
  <si>
    <t>4S=14.8, 6S=22.2, 8S=29.6, 12S=44.4</t>
  </si>
  <si>
    <t>Motor coil resistance</t>
  </si>
  <si>
    <t>Ω</t>
  </si>
  <si>
    <t>Internal resistance</t>
  </si>
  <si>
    <t>Motor no-load current</t>
  </si>
  <si>
    <t>A</t>
  </si>
  <si>
    <t>Motor max current</t>
  </si>
  <si>
    <t>Continuous rating</t>
  </si>
  <si>
    <t>Max static thrust per motor *</t>
  </si>
  <si>
    <t>N</t>
  </si>
  <si>
    <t>Full throttle, sea level, static</t>
  </si>
  <si>
    <t>Hover thrust per motor</t>
  </si>
  <si>
    <t>Unloaded</t>
  </si>
  <si>
    <t>Cruise thrust per motor</t>
  </si>
  <si>
    <t>unloaded</t>
  </si>
  <si>
    <t>4c. Motor layout</t>
  </si>
  <si>
    <t>Layout type *</t>
  </si>
  <si>
    <t>2 Tilt + 2 VTOL + 1 Tractor</t>
  </si>
  <si>
    <t>X-quad, +-quad, hex, octo, Y6, coaxial, etc.</t>
  </si>
  <si>
    <t>Arm length / motor spacing *</t>
  </si>
  <si>
    <t>1.24838 (1 &amp; 2), 1.267787 (3 &amp; 4)</t>
  </si>
  <si>
    <t>CG to motor distance</t>
  </si>
  <si>
    <t>Motor 1: position (X)</t>
  </si>
  <si>
    <t>+X=aft, +Y=right, +Z=down from CG</t>
  </si>
  <si>
    <t>Motor 1: position (Y)</t>
  </si>
  <si>
    <t>Motor 1: position (Z)</t>
  </si>
  <si>
    <t>Motor 1: orientation</t>
  </si>
  <si>
    <t>Default angle (pitch/roll/yaw). Vertical up = 0, forward = 90</t>
  </si>
  <si>
    <t>Motor 1: rotation</t>
  </si>
  <si>
    <t>CCW</t>
  </si>
  <si>
    <t>CW or CCW viewed from above</t>
  </si>
  <si>
    <t>Motor 1: role</t>
  </si>
  <si>
    <t>Tilt</t>
  </si>
  <si>
    <t>VTOL / Cruise / Dual / Tilt</t>
  </si>
  <si>
    <t>Motor 1: tilt axis</t>
  </si>
  <si>
    <t>Pitch</t>
  </si>
  <si>
    <t>Axis of tilt rotation: pitch / roll / yaw (if tilting)</t>
  </si>
  <si>
    <t>Motor 1: tilt range</t>
  </si>
  <si>
    <t>0 to 90</t>
  </si>
  <si>
    <t>Motor 2: position (X)</t>
  </si>
  <si>
    <t>Motor 2: position (Y)</t>
  </si>
  <si>
    <t>Motor 2: position (Z)</t>
  </si>
  <si>
    <t>Motor 2: orientation</t>
  </si>
  <si>
    <t>Motor 2: rotation</t>
  </si>
  <si>
    <t>CW</t>
  </si>
  <si>
    <t>Motor 2: role</t>
  </si>
  <si>
    <t>Motor 2: tilt axis</t>
  </si>
  <si>
    <t>Motor 2: tilt range</t>
  </si>
  <si>
    <t>Motor 3: position (X)</t>
  </si>
  <si>
    <t>Motor 3: position (Y)</t>
  </si>
  <si>
    <t>Motor 3: position (Z)</t>
  </si>
  <si>
    <t>Motor 3: orientation</t>
  </si>
  <si>
    <t>Motor 3: rotation</t>
  </si>
  <si>
    <t>Motor 3: role</t>
  </si>
  <si>
    <t>VTOL</t>
  </si>
  <si>
    <t>Motor 3: tilt axis</t>
  </si>
  <si>
    <t>Motor 3: tilt range</t>
  </si>
  <si>
    <t>Min and max tilt angle, e.g. 0 to 90 (if tilting)</t>
  </si>
  <si>
    <t>Motor 4: position (X)</t>
  </si>
  <si>
    <t>Motor 4: position (Y)</t>
  </si>
  <si>
    <t>Motor 4: position (Z)</t>
  </si>
  <si>
    <t>Motor 4: orientation</t>
  </si>
  <si>
    <t>Motor 4: rotation</t>
  </si>
  <si>
    <t>Motor 4: role</t>
  </si>
  <si>
    <t>Motor 4: tilt axis</t>
  </si>
  <si>
    <t>Motor 4: tilt range</t>
  </si>
  <si>
    <t>Motor 5: position (X)</t>
  </si>
  <si>
    <t>We are assuming no front propeller for now.</t>
  </si>
  <si>
    <t>Motor 5: position (Y)</t>
  </si>
  <si>
    <t>Motor 5: position (Z)</t>
  </si>
  <si>
    <t>Motor 5: orientation</t>
  </si>
  <si>
    <t>Motor 5: rotation</t>
  </si>
  <si>
    <t>Motor 5: role</t>
  </si>
  <si>
    <t>Motor 5: tilt axis</t>
  </si>
  <si>
    <t>Motor 5: tilt range</t>
  </si>
  <si>
    <t>4d. Propellers</t>
  </si>
  <si>
    <t>Propeller diameter *</t>
  </si>
  <si>
    <t>mm</t>
  </si>
  <si>
    <t>Per motor group if different</t>
  </si>
  <si>
    <t>Number of blades *</t>
  </si>
  <si>
    <t>Propeller pitch</t>
  </si>
  <si>
    <t>Propeller model / brand</t>
  </si>
  <si>
    <t>T-Motor VZ32*12</t>
  </si>
  <si>
    <t>e.g. APC 380x254, T-Motor P28x9.2, DJI 9450</t>
  </si>
  <si>
    <t>Propeller moment of inertia</t>
  </si>
  <si>
    <t>Variable pitch?</t>
  </si>
  <si>
    <t>No</t>
  </si>
  <si>
    <t>If yes: min pitch and max pitch in degrees</t>
  </si>
  <si>
    <t>Thrust coefficient table available?</t>
  </si>
  <si>
    <t>Yes</t>
  </si>
  <si>
    <t>CT vs advance ratio J, from manufacturer or test</t>
  </si>
  <si>
    <t>Power coefficient table available?</t>
  </si>
  <si>
    <t>CP vs advance ratio J</t>
  </si>
  <si>
    <t>Different props for cruise motor?</t>
  </si>
  <si>
    <t>If yes, specify all above separately</t>
  </si>
  <si>
    <t>5. Aerodynamics (we can estimate if unknown) ** Got using a DATCOM Calculator</t>
  </si>
  <si>
    <t>5a. Lift</t>
  </si>
  <si>
    <t>CL0 (lift at zero alpha)</t>
  </si>
  <si>
    <t>dCL/dalpha (lift curve slope)</t>
  </si>
  <si>
    <t>1/rad</t>
  </si>
  <si>
    <t>CLmax</t>
  </si>
  <si>
    <t>Max lift coefficient</t>
  </si>
  <si>
    <t>Alpha at stall</t>
  </si>
  <si>
    <t>5b. Drag</t>
  </si>
  <si>
    <t>Drag Coefficient</t>
  </si>
  <si>
    <t>CD0 (parasite drag at zero alpha)</t>
  </si>
  <si>
    <t>Zero-lift drag</t>
  </si>
  <si>
    <t>dCD/dalpha (drag slope vs alpha)</t>
  </si>
  <si>
    <t>Linear drag increase with alpha</t>
  </si>
  <si>
    <t>Oswald efficiency (e)</t>
  </si>
  <si>
    <t>For induced drag, typically 0.7 to 0.9</t>
  </si>
  <si>
    <t>5c. Lift to Drag Ratio</t>
  </si>
  <si>
    <t>Lift to Drag Ratio</t>
  </si>
  <si>
    <t>*** AT 0 AoA</t>
  </si>
  <si>
    <t>5d. Side force</t>
  </si>
  <si>
    <t>CY0 (side force at zero sideslip)</t>
  </si>
  <si>
    <t>Usually 0 for symmetric aircraft</t>
  </si>
  <si>
    <t>CDbeta (drag due to sideslip)</t>
  </si>
  <si>
    <t>5e. Moments</t>
  </si>
  <si>
    <t>Cm0 (pitch moment at zero alpha)</t>
  </si>
  <si>
    <t>Determines trim point</t>
  </si>
  <si>
    <t>Cma (pitch moment vs alpha)</t>
  </si>
  <si>
    <t>Negative for stable</t>
  </si>
  <si>
    <t>CMl0 (roll moment at zero sideslip)</t>
  </si>
  <si>
    <t>Usually 0 for symmetric</t>
  </si>
  <si>
    <t>Clb (roll moment vs sideslip)</t>
  </si>
  <si>
    <t>Dihedral effect</t>
  </si>
  <si>
    <t>CMn0 (yaw moment at zero sideslip)</t>
  </si>
  <si>
    <t>Cnb (yaw moment vs sideslip)</t>
  </si>
  <si>
    <t>Directional stability</t>
  </si>
  <si>
    <t>5f. Damping derivatives (if known)</t>
  </si>
  <si>
    <t>Cmq (pitch damping)</t>
  </si>
  <si>
    <t>Cmadot (pitch moment vs alpha rate)</t>
  </si>
  <si>
    <t>Clp (roll damping)</t>
  </si>
  <si>
    <t>Cnr (yaw damping)</t>
  </si>
  <si>
    <t>CLadot (lift vs alpha rate)</t>
  </si>
  <si>
    <t>CLq (lift vs pitch rate)</t>
  </si>
  <si>
    <t>5f. Ground effect (if applicable)</t>
  </si>
  <si>
    <t>Ground effect on lift (kCLge)</t>
  </si>
  <si>
    <t>Lift multiplier vs height/wingspan ratio. Near ground typically 1.0 to 1.2</t>
  </si>
  <si>
    <t>Ground effect on drag (kCDge)</t>
  </si>
  <si>
    <t>Drag multiplier vs height/wingspan ratio. Near ground typically 0.48 to 1.0</t>
  </si>
  <si>
    <t>Ground effect data available?</t>
  </si>
  <si>
    <t>Tables or test data for lift/drag change near ground</t>
  </si>
  <si>
    <t>5g. Data</t>
  </si>
  <si>
    <t>CFD / wind tunnel data available?</t>
  </si>
  <si>
    <t>If yes, we can import exact polars and tables</t>
  </si>
  <si>
    <t>6. Control surfaces (skip if pure multirotor)</t>
  </si>
  <si>
    <t>Control surface types</t>
  </si>
  <si>
    <t>Ailerons, Flaps, Elevator, Rudder</t>
  </si>
  <si>
    <t>Ailerons, elevators, rudder, elevons, ruddervators, flaps</t>
  </si>
  <si>
    <t>Aileron max deflection</t>
  </si>
  <si>
    <t>15 +-</t>
  </si>
  <si>
    <t>Assumption</t>
  </si>
  <si>
    <t>Elevator max deflection</t>
  </si>
  <si>
    <t>Rudder max deflection</t>
  </si>
  <si>
    <t>30 +-</t>
  </si>
  <si>
    <t>more than 35 will create drag</t>
  </si>
  <si>
    <t>Flap positions</t>
  </si>
  <si>
    <t>0, 10, 20, 30</t>
  </si>
  <si>
    <t>31 is the max, 30 for simplicity</t>
  </si>
  <si>
    <t>Flap deployment time</t>
  </si>
  <si>
    <t>s</t>
  </si>
  <si>
    <t>10 to 15 seconds is standard for commercial from 0 to 30 deg</t>
  </si>
  <si>
    <t>Control surface areas</t>
  </si>
  <si>
    <t>Ailerons</t>
  </si>
  <si>
    <t>Flaps</t>
  </si>
  <si>
    <t>Elevator</t>
  </si>
  <si>
    <t>Rudder</t>
  </si>
  <si>
    <t>7. Landing gear</t>
  </si>
  <si>
    <t>Type *</t>
  </si>
  <si>
    <t>Fixed Stand (Circular base)</t>
  </si>
  <si>
    <t>Skids, fixed wheels, retractable wheels, legs</t>
  </si>
  <si>
    <t>Retractable?</t>
  </si>
  <si>
    <t>Yes / No</t>
  </si>
  <si>
    <t>Number of contact points *</t>
  </si>
  <si>
    <t>Area is 0.159m^2</t>
  </si>
  <si>
    <t>Contact point positions (X)</t>
  </si>
  <si>
    <t>X, Y, Z for each point relative to CG</t>
  </si>
  <si>
    <t>Contact point positions (Y)</t>
  </si>
  <si>
    <t>Contact point positions (Z)</t>
  </si>
  <si>
    <t>Ground clearance</t>
  </si>
  <si>
    <t>Nose/tail wheel steering?</t>
  </si>
  <si>
    <t>If yes: max steering angle in degrees</t>
  </si>
  <si>
    <t>Brakes?</t>
  </si>
  <si>
    <t>Which gear points have brakes</t>
  </si>
  <si>
    <t>8. Performance (for model validation)</t>
  </si>
  <si>
    <t>Cruise speed</t>
  </si>
  <si>
    <t>m/s</t>
  </si>
  <si>
    <t>Max speed</t>
  </si>
  <si>
    <t>Stall speed</t>
  </si>
  <si>
    <t>If winged</t>
  </si>
  <si>
    <t>Max climb rate</t>
  </si>
  <si>
    <t>Endurance</t>
  </si>
  <si>
    <t>min</t>
  </si>
  <si>
    <t>Max operating altitude</t>
  </si>
  <si>
    <t>m AGL</t>
  </si>
  <si>
    <t>300 ft is DARPA challenge max altitude</t>
  </si>
  <si>
    <t>Max payload at hover</t>
  </si>
  <si>
    <t>assuming 110 lbs payload</t>
  </si>
  <si>
    <t>9. VTOL transition (skip if pure multirotor or fixed wing)</t>
  </si>
  <si>
    <t>Transition mechanism</t>
  </si>
  <si>
    <t>Motor Tilt</t>
  </si>
  <si>
    <t>Motor tilt, wing tilt, differential thrust, dedicated cruise motor</t>
  </si>
  <si>
    <t>Tilt range</t>
  </si>
  <si>
    <t>0-90</t>
  </si>
  <si>
    <t>0=hover, 90=forward</t>
  </si>
  <si>
    <t>Transition speed</t>
  </si>
  <si>
    <t>Back-transition speed</t>
  </si>
  <si>
    <t>10. 3D model</t>
  </si>
  <si>
    <t>3D model available?</t>
  </si>
  <si>
    <t>CAD (STEP, IGES) or mesh (FBX, OBJ, STL, glTF)</t>
  </si>
  <si>
    <t>11. Payload point masses (if applicable)</t>
  </si>
  <si>
    <t>Payload 1: name</t>
  </si>
  <si>
    <t>Payload 1: weight</t>
  </si>
  <si>
    <t>Payload 1: position (X)</t>
  </si>
  <si>
    <t>Relative to same datum as CG</t>
  </si>
  <si>
    <t>Payload 1: position (Y)</t>
  </si>
  <si>
    <t>Payload 1: position (Z)</t>
  </si>
  <si>
    <t>Payload 1: droppable?</t>
  </si>
  <si>
    <t>Payload 2: name</t>
  </si>
  <si>
    <t>165 lbs</t>
  </si>
  <si>
    <t>Payload 2: weight</t>
  </si>
  <si>
    <t>Payload 2: position (X)</t>
  </si>
  <si>
    <t>Payload 2: position (Y)</t>
  </si>
  <si>
    <t>Payload 2: position (Z)</t>
  </si>
  <si>
    <t>Payload 2: droppable?</t>
  </si>
  <si>
    <t>Payload 3: name</t>
  </si>
  <si>
    <t>220 lbs</t>
  </si>
  <si>
    <t>Payload 3: weight</t>
  </si>
  <si>
    <t>Payload 3: position (X)</t>
  </si>
  <si>
    <t>Payload 3: position (Y)</t>
  </si>
  <si>
    <t>Payload 3: position (Z)</t>
  </si>
  <si>
    <t>Payload 3: droppable?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</si>
</sst>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6">
    <font>
      <sz val="10.0"/>
      <color rgb="FF000000"/>
      <name val="Arial"/>
      <scheme val="minor"/>
    </font>
    <font>
      <sz val="11.0"/>
      <color theme="1"/>
      <name val="Calibri"/>
    </font>
    <font>
      <b/>
      <sz val="12.0"/>
      <color theme="1"/>
      <name val="Arial"/>
    </font>
    <font>
      <sz val="11.0"/>
      <color rgb="FF666666"/>
      <name val="Arial"/>
    </font>
    <font>
      <b/>
      <sz val="11.0"/>
      <color theme="1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</fills>
  <borders count="3">
    <border/>
    <border>
      <left/>
      <right/>
      <top/>
      <bottom/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1" fillId="2" fontId="4" numFmtId="0" xfId="0" applyAlignment="1" applyBorder="1" applyFill="1" applyFont="1">
      <alignment vertical="bottom"/>
    </xf>
    <xf borderId="0" fillId="3" fontId="4" numFmtId="0" xfId="0" applyAlignment="1" applyFill="1" applyFont="1">
      <alignment vertical="bottom"/>
    </xf>
    <xf borderId="2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right" vertical="bottom"/>
    </xf>
    <xf borderId="2" fillId="0" fontId="5" numFmtId="0" xfId="0" applyAlignment="1" applyBorder="1" applyFont="1">
      <alignment shrinkToFit="0" vertical="bottom" wrapText="1"/>
    </xf>
    <xf borderId="0" fillId="3" fontId="1" numFmtId="0" xfId="0" applyAlignment="1" applyFont="1">
      <alignment vertical="bottom"/>
    </xf>
    <xf borderId="2" fillId="3" fontId="1" numFmtId="0" xfId="0" applyAlignment="1" applyBorder="1" applyFont="1">
      <alignment vertical="bottom"/>
    </xf>
    <xf borderId="2" fillId="4" fontId="1" numFmtId="0" xfId="0" applyAlignment="1" applyBorder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2" fillId="0" fontId="5" numFmtId="4" xfId="0" applyAlignment="1" applyBorder="1" applyFont="1" applyNumberFormat="1">
      <alignment horizontal="center" vertical="bottom"/>
    </xf>
    <xf borderId="2" fillId="0" fontId="1" numFmtId="4" xfId="0" applyAlignment="1" applyBorder="1" applyFont="1" applyNumberForma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2" fillId="4" fontId="5" numFmtId="0" xfId="0" applyAlignment="1" applyBorder="1" applyFont="1">
      <alignment horizontal="center" vertical="bottom"/>
    </xf>
    <xf borderId="2" fillId="4" fontId="5" numFmtId="0" xfId="0" applyAlignment="1" applyBorder="1" applyFont="1">
      <alignment vertical="bottom"/>
    </xf>
    <xf borderId="2" fillId="4" fontId="5" numFmtId="0" xfId="0" applyAlignment="1" applyBorder="1" applyFont="1">
      <alignment shrinkToFit="0" vertical="bottom" wrapText="1"/>
    </xf>
    <xf borderId="0" fillId="4" fontId="1" numFmtId="0" xfId="0" applyAlignment="1" applyFont="1">
      <alignment horizontal="right" vertical="bottom"/>
    </xf>
    <xf borderId="0" fillId="4" fontId="1" numFmtId="0" xfId="0" applyAlignment="1" applyFont="1">
      <alignment vertical="bottom"/>
    </xf>
    <xf borderId="2" fillId="4" fontId="1" numFmtId="0" xfId="0" applyAlignment="1" applyBorder="1" applyFont="1">
      <alignment vertical="bottom"/>
    </xf>
    <xf borderId="0" fillId="5" fontId="4" numFmtId="0" xfId="0" applyAlignment="1" applyFill="1" applyFont="1">
      <alignment vertical="bottom"/>
    </xf>
    <xf borderId="0" fillId="3" fontId="4" numFmtId="0" xfId="0" applyAlignment="1" applyFont="1">
      <alignment vertical="bottom"/>
    </xf>
    <xf borderId="0" fillId="5" fontId="1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2" fillId="0" fontId="5" numFmtId="0" xfId="0" applyAlignment="1" applyBorder="1" applyFont="1">
      <alignment horizontal="center" vertical="bottom"/>
    </xf>
    <xf borderId="0" fillId="3" fontId="4" numFmtId="164" xfId="0" applyAlignment="1" applyFont="1" applyNumberFormat="1">
      <alignment vertical="bottom"/>
    </xf>
    <xf borderId="2" fillId="0" fontId="1" numFmtId="164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31.75"/>
    <col customWidth="1" min="3" max="3" width="10.63"/>
    <col customWidth="1" min="4" max="4" width="28.5"/>
    <col customWidth="1" min="5" max="5" width="44.13"/>
  </cols>
  <sheetData>
    <row r="1">
      <c r="A1" s="1"/>
      <c r="B1" s="2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" t="s">
        <v>7</v>
      </c>
      <c r="F5" s="1"/>
      <c r="G5" s="1"/>
      <c r="H5" s="1"/>
      <c r="I5" s="1"/>
      <c r="J5" s="1"/>
      <c r="K5" s="1"/>
      <c r="L5" s="1"/>
      <c r="M5" s="1" t="s">
        <v>8</v>
      </c>
      <c r="N5" s="1" t="s">
        <v>9</v>
      </c>
      <c r="O5" s="1" t="s">
        <v>10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6">
        <v>1.0</v>
      </c>
      <c r="B6" s="7" t="s">
        <v>11</v>
      </c>
      <c r="C6" s="8"/>
      <c r="D6" s="9" t="s">
        <v>12</v>
      </c>
      <c r="E6" s="8"/>
      <c r="F6" s="1"/>
      <c r="G6" s="1"/>
      <c r="K6" s="1"/>
      <c r="L6" s="1" t="s">
        <v>13</v>
      </c>
      <c r="M6" s="10">
        <v>0.0</v>
      </c>
      <c r="N6" s="10">
        <v>0.0</v>
      </c>
      <c r="O6" s="10">
        <v>0.0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6">
        <v>2.0</v>
      </c>
      <c r="B7" s="7" t="s">
        <v>14</v>
      </c>
      <c r="C7" s="8"/>
      <c r="D7" s="9" t="s">
        <v>15</v>
      </c>
      <c r="E7" s="11" t="s">
        <v>16</v>
      </c>
      <c r="F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6">
        <v>3.0</v>
      </c>
      <c r="B8" s="7" t="s">
        <v>17</v>
      </c>
      <c r="C8" s="8"/>
      <c r="D8" s="9" t="s">
        <v>18</v>
      </c>
      <c r="E8" s="11" t="s">
        <v>19</v>
      </c>
      <c r="F8" s="1"/>
      <c r="K8" s="1"/>
      <c r="L8" s="1" t="s">
        <v>20</v>
      </c>
      <c r="M8" s="10">
        <v>0.27389</v>
      </c>
      <c r="N8" s="10">
        <v>0.0</v>
      </c>
      <c r="O8" s="10">
        <v>0.054286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6">
        <v>4.0</v>
      </c>
      <c r="B9" s="7" t="s">
        <v>21</v>
      </c>
      <c r="C9" s="8"/>
      <c r="D9" s="9" t="s">
        <v>22</v>
      </c>
      <c r="E9" s="11" t="s">
        <v>23</v>
      </c>
      <c r="F9" s="1"/>
      <c r="K9" s="1"/>
      <c r="L9" s="1" t="s">
        <v>24</v>
      </c>
      <c r="M9" s="10">
        <v>-0.256298</v>
      </c>
      <c r="N9" s="10">
        <v>1.183447</v>
      </c>
      <c r="O9" s="10">
        <v>0.098955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6">
        <v>5.0</v>
      </c>
      <c r="B10" s="7" t="s">
        <v>25</v>
      </c>
      <c r="C10" s="8"/>
      <c r="D10" s="9" t="s">
        <v>26</v>
      </c>
      <c r="E10" s="11" t="s">
        <v>27</v>
      </c>
      <c r="F10" s="1"/>
      <c r="K10" s="1"/>
      <c r="L10" s="1" t="s">
        <v>28</v>
      </c>
      <c r="M10" s="10">
        <v>-0.256298</v>
      </c>
      <c r="N10" s="10">
        <v>-1.183447</v>
      </c>
      <c r="O10" s="10">
        <v>0.098955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5" t="s">
        <v>29</v>
      </c>
      <c r="B11" s="12"/>
      <c r="C11" s="12"/>
      <c r="D11" s="13"/>
      <c r="E11" s="12"/>
      <c r="F11" s="1"/>
      <c r="K11" s="1"/>
      <c r="L11" s="1" t="s">
        <v>30</v>
      </c>
      <c r="M11" s="10">
        <v>0.850743</v>
      </c>
      <c r="N11" s="10">
        <v>1.183447</v>
      </c>
      <c r="O11" s="10">
        <v>0.025424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6">
        <v>6.0</v>
      </c>
      <c r="B12" s="7" t="s">
        <v>31</v>
      </c>
      <c r="C12" s="6" t="s">
        <v>32</v>
      </c>
      <c r="D12" s="14">
        <f>2.386124+(0.1072/2)</f>
        <v>2.439724</v>
      </c>
      <c r="E12" s="11" t="s">
        <v>33</v>
      </c>
      <c r="F12" s="1"/>
      <c r="K12" s="1"/>
      <c r="L12" s="1" t="s">
        <v>34</v>
      </c>
      <c r="M12" s="10">
        <v>0.850743</v>
      </c>
      <c r="N12" s="10">
        <v>-1.183447</v>
      </c>
      <c r="O12" s="10">
        <v>0.025424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6">
        <v>7.0</v>
      </c>
      <c r="B13" s="7" t="s">
        <v>35</v>
      </c>
      <c r="C13" s="6" t="s">
        <v>32</v>
      </c>
      <c r="D13" s="9">
        <f>2.366894+0.1072</f>
        <v>2.474094</v>
      </c>
      <c r="E13" s="11" t="s">
        <v>36</v>
      </c>
      <c r="F13" s="1"/>
      <c r="K13" s="1"/>
      <c r="L13" s="1" t="s">
        <v>37</v>
      </c>
      <c r="M13" s="1" t="s">
        <v>38</v>
      </c>
      <c r="N13" s="1" t="s">
        <v>38</v>
      </c>
      <c r="O13" s="1" t="s">
        <v>38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6">
        <v>8.0</v>
      </c>
      <c r="B14" s="7" t="s">
        <v>39</v>
      </c>
      <c r="C14" s="6" t="s">
        <v>32</v>
      </c>
      <c r="D14" s="9">
        <v>0.612215</v>
      </c>
      <c r="E14" s="8" t="s">
        <v>40</v>
      </c>
      <c r="F14" s="1"/>
      <c r="K14" s="1"/>
      <c r="L14" s="1" t="s">
        <v>41</v>
      </c>
      <c r="M14" s="10">
        <f>(0.331743/2)+0.051743</f>
        <v>0.2176145</v>
      </c>
      <c r="N14" s="10">
        <v>0.0</v>
      </c>
      <c r="O14" s="10">
        <v>0.023424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5" t="s">
        <v>42</v>
      </c>
      <c r="B15" s="12"/>
      <c r="C15" s="12"/>
      <c r="D15" s="13"/>
      <c r="E15" s="12"/>
      <c r="F15" s="1"/>
      <c r="K15" s="1"/>
      <c r="L15" s="1" t="s">
        <v>43</v>
      </c>
      <c r="M15" s="10">
        <v>0.274744</v>
      </c>
      <c r="N15" s="10">
        <v>0.0</v>
      </c>
      <c r="O15" s="10">
        <v>-0.234789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6">
        <v>9.0</v>
      </c>
      <c r="B16" s="7" t="s">
        <v>44</v>
      </c>
      <c r="C16" s="6" t="s">
        <v>32</v>
      </c>
      <c r="D16" s="9">
        <v>2.2</v>
      </c>
      <c r="E16" s="8"/>
      <c r="F16" s="1"/>
      <c r="K16" s="1"/>
      <c r="L16" s="1" t="s">
        <v>45</v>
      </c>
      <c r="M16" s="10">
        <v>0.274744</v>
      </c>
      <c r="N16" s="10">
        <v>0.0</v>
      </c>
      <c r="O16" s="10">
        <v>-0.15731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6">
        <v>10.0</v>
      </c>
      <c r="B17" s="7" t="s">
        <v>46</v>
      </c>
      <c r="C17" s="6" t="s">
        <v>47</v>
      </c>
      <c r="D17" s="9">
        <v>1.1</v>
      </c>
      <c r="E17" s="11" t="s">
        <v>48</v>
      </c>
      <c r="F17" s="1"/>
      <c r="K17" s="1" t="s">
        <v>49</v>
      </c>
      <c r="L17" s="1" t="s">
        <v>50</v>
      </c>
      <c r="M17" s="10">
        <v>0.274744</v>
      </c>
      <c r="N17" s="10">
        <v>0.0</v>
      </c>
      <c r="O17" s="10">
        <v>-0.123691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6">
        <v>11.0</v>
      </c>
      <c r="B18" s="7" t="s">
        <v>51</v>
      </c>
      <c r="C18" s="6" t="s">
        <v>32</v>
      </c>
      <c r="D18" s="9">
        <v>0.5</v>
      </c>
      <c r="E18" s="11" t="s">
        <v>52</v>
      </c>
      <c r="F18" s="1"/>
      <c r="K18" s="1"/>
      <c r="L18" s="1" t="s">
        <v>53</v>
      </c>
      <c r="M18" s="10">
        <v>0.274744</v>
      </c>
      <c r="N18" s="10">
        <v>0.0</v>
      </c>
      <c r="O18" s="10">
        <v>-0.123334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6">
        <v>12.0</v>
      </c>
      <c r="B19" s="7" t="s">
        <v>54</v>
      </c>
      <c r="C19" s="8"/>
      <c r="D19" s="9" t="s">
        <v>55</v>
      </c>
      <c r="E19" s="11" t="s">
        <v>56</v>
      </c>
      <c r="F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6">
        <v>13.0</v>
      </c>
      <c r="B20" s="7" t="s">
        <v>57</v>
      </c>
      <c r="C20" s="6" t="s">
        <v>58</v>
      </c>
      <c r="D20" s="9">
        <v>5.0</v>
      </c>
      <c r="E20" s="11" t="s">
        <v>59</v>
      </c>
      <c r="F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5" t="s">
        <v>60</v>
      </c>
      <c r="B21" s="12"/>
      <c r="C21" s="12"/>
      <c r="D21" s="13"/>
      <c r="E21" s="12"/>
      <c r="F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6">
        <v>14.0</v>
      </c>
      <c r="B22" s="7" t="s">
        <v>61</v>
      </c>
      <c r="C22" s="8"/>
      <c r="D22" s="9" t="s">
        <v>62</v>
      </c>
      <c r="E22" s="11" t="s">
        <v>63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6">
        <v>15.0</v>
      </c>
      <c r="B23" s="7" t="s">
        <v>64</v>
      </c>
      <c r="C23" s="6" t="s">
        <v>47</v>
      </c>
      <c r="D23" s="9">
        <v>0.15795</v>
      </c>
      <c r="E23" s="8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6">
        <v>16.0</v>
      </c>
      <c r="B24" s="7" t="s">
        <v>65</v>
      </c>
      <c r="C24" s="6" t="s">
        <v>32</v>
      </c>
      <c r="D24" s="9">
        <v>1.8288</v>
      </c>
      <c r="E24" s="11" t="s">
        <v>66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6">
        <v>17.0</v>
      </c>
      <c r="B25" s="7" t="s">
        <v>67</v>
      </c>
      <c r="C25" s="6" t="s">
        <v>47</v>
      </c>
      <c r="D25" s="9">
        <v>0.07395</v>
      </c>
      <c r="E25" s="8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6">
        <v>18.0</v>
      </c>
      <c r="B26" s="7" t="s">
        <v>68</v>
      </c>
      <c r="C26" s="6" t="s">
        <v>32</v>
      </c>
      <c r="D26" s="9">
        <v>1.8288</v>
      </c>
      <c r="E26" s="11" t="s">
        <v>69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5" t="s">
        <v>70</v>
      </c>
      <c r="B27" s="12"/>
      <c r="C27" s="12"/>
      <c r="D27" s="13"/>
      <c r="E27" s="12"/>
      <c r="F27" s="1"/>
      <c r="G27" s="1"/>
      <c r="H27" s="1"/>
      <c r="I27" s="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6">
        <v>19.0</v>
      </c>
      <c r="B28" s="7" t="s">
        <v>71</v>
      </c>
      <c r="C28" s="6" t="s">
        <v>32</v>
      </c>
      <c r="D28" s="9">
        <f>M8</f>
        <v>0.27389</v>
      </c>
      <c r="E28" s="11" t="s">
        <v>72</v>
      </c>
      <c r="F28" s="8"/>
      <c r="G28" s="8"/>
      <c r="H28" s="8"/>
      <c r="I28" s="8"/>
      <c r="J28" s="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6">
        <v>20.0</v>
      </c>
      <c r="B29" s="7" t="s">
        <v>73</v>
      </c>
      <c r="C29" s="6" t="s">
        <v>32</v>
      </c>
      <c r="D29" s="15">
        <f>N8</f>
        <v>0</v>
      </c>
      <c r="E29" s="1"/>
      <c r="F29" s="8"/>
      <c r="G29" s="8"/>
      <c r="H29" s="8"/>
      <c r="I29" s="8"/>
      <c r="J29" s="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6">
        <v>21.0</v>
      </c>
      <c r="B30" s="7" t="s">
        <v>74</v>
      </c>
      <c r="C30" s="6" t="s">
        <v>32</v>
      </c>
      <c r="D30" s="15">
        <f>O8</f>
        <v>0.054286</v>
      </c>
      <c r="E30" s="1"/>
      <c r="F30" s="8"/>
      <c r="G30" s="8"/>
      <c r="H30" s="8"/>
      <c r="I30" s="8"/>
      <c r="J30" s="8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6">
        <v>22.0</v>
      </c>
      <c r="B31" s="7" t="s">
        <v>75</v>
      </c>
      <c r="C31" s="6" t="s">
        <v>32</v>
      </c>
      <c r="D31" s="9" t="s">
        <v>38</v>
      </c>
      <c r="E31" s="11" t="s">
        <v>76</v>
      </c>
      <c r="F31" s="1"/>
      <c r="G31" s="1"/>
      <c r="H31" s="1"/>
      <c r="I31" s="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6">
        <v>23.0</v>
      </c>
      <c r="B32" s="7" t="s">
        <v>77</v>
      </c>
      <c r="C32" s="6" t="s">
        <v>32</v>
      </c>
      <c r="D32" s="15" t="s">
        <v>38</v>
      </c>
      <c r="E32" s="1"/>
      <c r="F32" s="8"/>
      <c r="G32" s="8"/>
      <c r="H32" s="8"/>
      <c r="I32" s="8"/>
      <c r="J32" s="8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6">
        <v>24.0</v>
      </c>
      <c r="B33" s="7" t="s">
        <v>78</v>
      </c>
      <c r="C33" s="6" t="s">
        <v>32</v>
      </c>
      <c r="D33" s="15" t="s">
        <v>38</v>
      </c>
      <c r="E33" s="1"/>
      <c r="F33" s="8"/>
      <c r="G33" s="8"/>
      <c r="H33" s="8"/>
      <c r="I33" s="8"/>
      <c r="J33" s="8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6">
        <v>25.0</v>
      </c>
      <c r="B34" s="7" t="s">
        <v>79</v>
      </c>
      <c r="C34" s="6" t="s">
        <v>32</v>
      </c>
      <c r="D34" s="9">
        <f>M6</f>
        <v>0</v>
      </c>
      <c r="E34" s="11" t="s">
        <v>80</v>
      </c>
      <c r="F34" s="8"/>
      <c r="G34" s="8"/>
      <c r="H34" s="8"/>
      <c r="I34" s="8"/>
      <c r="J34" s="8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6">
        <v>26.0</v>
      </c>
      <c r="B35" s="7" t="s">
        <v>81</v>
      </c>
      <c r="C35" s="6" t="s">
        <v>32</v>
      </c>
      <c r="D35" s="15">
        <f>N6</f>
        <v>0</v>
      </c>
      <c r="E35" s="1"/>
      <c r="F35" s="8"/>
      <c r="G35" s="8"/>
      <c r="H35" s="8"/>
      <c r="I35" s="8"/>
      <c r="J35" s="8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6">
        <v>27.0</v>
      </c>
      <c r="B36" s="7" t="s">
        <v>82</v>
      </c>
      <c r="C36" s="6" t="s">
        <v>32</v>
      </c>
      <c r="D36" s="15">
        <f>O6</f>
        <v>0</v>
      </c>
      <c r="E36" s="1"/>
      <c r="F36" s="8"/>
      <c r="G36" s="8"/>
      <c r="H36" s="8"/>
      <c r="I36" s="8"/>
      <c r="J36" s="8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5" t="s">
        <v>83</v>
      </c>
      <c r="B37" s="12"/>
      <c r="C37" s="12"/>
      <c r="D37" s="13"/>
      <c r="E37" s="12"/>
      <c r="F37" s="8"/>
      <c r="G37" s="8"/>
      <c r="H37" s="8"/>
      <c r="I37" s="8"/>
      <c r="J37" s="8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6">
        <v>28.0</v>
      </c>
      <c r="B38" s="7" t="s">
        <v>84</v>
      </c>
      <c r="C38" s="6" t="s">
        <v>85</v>
      </c>
      <c r="D38" s="9">
        <f>D46-D39</f>
        <v>15.143275</v>
      </c>
      <c r="E38" s="11" t="s">
        <v>86</v>
      </c>
      <c r="F38" s="8"/>
      <c r="G38" s="8"/>
      <c r="H38" s="8"/>
      <c r="I38" s="8"/>
      <c r="J38" s="8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6">
        <v>29.0</v>
      </c>
      <c r="B39" s="7" t="s">
        <v>87</v>
      </c>
      <c r="C39" s="6" t="s">
        <v>85</v>
      </c>
      <c r="D39" s="9">
        <v>6.579943</v>
      </c>
      <c r="E39" s="11" t="s">
        <v>88</v>
      </c>
      <c r="F39" s="8"/>
      <c r="G39" s="8"/>
      <c r="H39" s="8"/>
      <c r="I39" s="8"/>
      <c r="J39" s="8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6">
        <v>30.0</v>
      </c>
      <c r="B40" s="7" t="s">
        <v>89</v>
      </c>
      <c r="C40" s="8"/>
      <c r="D40" s="9">
        <v>1.0</v>
      </c>
      <c r="E40" s="8"/>
      <c r="F40" s="8"/>
      <c r="G40" s="8"/>
      <c r="H40" s="8"/>
      <c r="I40" s="8"/>
      <c r="J40" s="8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6">
        <v>31.0</v>
      </c>
      <c r="B41" s="7" t="s">
        <v>90</v>
      </c>
      <c r="C41" s="6" t="s">
        <v>91</v>
      </c>
      <c r="D41" s="9">
        <v>1077.0</v>
      </c>
      <c r="E41" s="11" t="s">
        <v>88</v>
      </c>
      <c r="F41" s="8"/>
      <c r="G41" s="8"/>
      <c r="H41" s="8"/>
      <c r="I41" s="8"/>
      <c r="J41" s="8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6">
        <v>32.0</v>
      </c>
      <c r="B42" s="7" t="s">
        <v>92</v>
      </c>
      <c r="C42" s="6" t="s">
        <v>32</v>
      </c>
      <c r="D42" s="9">
        <f>M14-M8</f>
        <v>-0.0562755</v>
      </c>
      <c r="E42" s="11" t="s">
        <v>93</v>
      </c>
      <c r="F42" s="8"/>
      <c r="G42" s="8"/>
      <c r="H42" s="8"/>
      <c r="I42" s="8"/>
      <c r="J42" s="8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6">
        <v>33.0</v>
      </c>
      <c r="B43" s="7" t="s">
        <v>94</v>
      </c>
      <c r="C43" s="6" t="s">
        <v>32</v>
      </c>
      <c r="D43" s="9">
        <f>N14</f>
        <v>0</v>
      </c>
      <c r="E43" s="1"/>
      <c r="F43" s="8"/>
      <c r="G43" s="1"/>
      <c r="H43" s="8"/>
      <c r="I43" s="8"/>
      <c r="J43" s="8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6">
        <v>34.0</v>
      </c>
      <c r="B44" s="7" t="s">
        <v>95</v>
      </c>
      <c r="C44" s="6" t="s">
        <v>32</v>
      </c>
      <c r="D44" s="9">
        <f>O14-O8</f>
        <v>-0.030862</v>
      </c>
      <c r="E44" s="1"/>
      <c r="F44" s="8"/>
      <c r="G44" s="8"/>
      <c r="H44" s="8"/>
      <c r="I44" s="8"/>
      <c r="J44" s="8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6">
        <v>35.0</v>
      </c>
      <c r="B45" s="7" t="s">
        <v>96</v>
      </c>
      <c r="C45" s="6" t="s">
        <v>85</v>
      </c>
      <c r="D45" s="9">
        <f>D46+D47</f>
        <v>71.618418</v>
      </c>
      <c r="E45" s="11" t="s">
        <v>97</v>
      </c>
      <c r="F45" s="1"/>
      <c r="G45" s="1"/>
      <c r="H45" s="1"/>
      <c r="I45" s="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6">
        <v>36.0</v>
      </c>
      <c r="B46" s="7" t="s">
        <v>98</v>
      </c>
      <c r="C46" s="6" t="s">
        <v>85</v>
      </c>
      <c r="D46" s="9">
        <v>21.723218</v>
      </c>
      <c r="E46" s="11" t="s">
        <v>99</v>
      </c>
      <c r="F46" s="8"/>
      <c r="G46" s="8"/>
      <c r="H46" s="8"/>
      <c r="I46" s="8"/>
      <c r="J46" s="8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6">
        <v>37.0</v>
      </c>
      <c r="B47" s="7" t="s">
        <v>100</v>
      </c>
      <c r="C47" s="6" t="s">
        <v>85</v>
      </c>
      <c r="D47" s="9">
        <v>49.8952</v>
      </c>
      <c r="E47" s="8" t="s">
        <v>101</v>
      </c>
      <c r="F47" s="8"/>
      <c r="G47" s="8"/>
      <c r="H47" s="8"/>
      <c r="I47" s="8"/>
      <c r="J47" s="8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6">
        <v>38.0</v>
      </c>
      <c r="B48" s="7" t="s">
        <v>102</v>
      </c>
      <c r="C48" s="6" t="s">
        <v>32</v>
      </c>
      <c r="D48" s="9">
        <f>M8</f>
        <v>0.27389</v>
      </c>
      <c r="E48" s="11" t="s">
        <v>103</v>
      </c>
      <c r="F48" s="1"/>
      <c r="G48" s="1"/>
      <c r="H48" s="1"/>
      <c r="I48" s="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6">
        <v>39.0</v>
      </c>
      <c r="B49" s="7" t="s">
        <v>104</v>
      </c>
      <c r="C49" s="6" t="s">
        <v>32</v>
      </c>
      <c r="D49" s="15">
        <f>N8</f>
        <v>0</v>
      </c>
      <c r="E49" s="1"/>
      <c r="F49" s="8"/>
      <c r="G49" s="8"/>
      <c r="H49" s="8"/>
      <c r="I49" s="8"/>
      <c r="J49" s="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6">
        <v>40.0</v>
      </c>
      <c r="B50" s="7" t="s">
        <v>105</v>
      </c>
      <c r="C50" s="6" t="s">
        <v>32</v>
      </c>
      <c r="D50" s="15">
        <f>O8</f>
        <v>0.054286</v>
      </c>
      <c r="E50" s="1"/>
      <c r="F50" s="8"/>
      <c r="G50" s="8"/>
      <c r="H50" s="8"/>
      <c r="I50" s="8"/>
      <c r="J50" s="8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6">
        <v>41.0</v>
      </c>
      <c r="B51" s="7" t="s">
        <v>106</v>
      </c>
      <c r="C51" s="6" t="s">
        <v>107</v>
      </c>
      <c r="D51" s="17">
        <v>14.72</v>
      </c>
      <c r="E51" s="11" t="s">
        <v>108</v>
      </c>
      <c r="F51" s="8"/>
      <c r="G51" s="8"/>
      <c r="H51" s="8"/>
      <c r="I51" s="8"/>
      <c r="J51" s="8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6">
        <v>42.0</v>
      </c>
      <c r="B52" s="7" t="s">
        <v>109</v>
      </c>
      <c r="C52" s="6" t="s">
        <v>107</v>
      </c>
      <c r="D52" s="17">
        <v>0.608</v>
      </c>
      <c r="E52" s="8"/>
      <c r="F52" s="8"/>
      <c r="G52" s="8"/>
      <c r="H52" s="8"/>
      <c r="I52" s="8"/>
      <c r="J52" s="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6">
        <v>43.0</v>
      </c>
      <c r="B53" s="7" t="s">
        <v>110</v>
      </c>
      <c r="C53" s="6" t="s">
        <v>107</v>
      </c>
      <c r="D53" s="17">
        <v>21.2</v>
      </c>
      <c r="E53" s="8"/>
      <c r="F53" s="8"/>
      <c r="G53" s="8"/>
      <c r="H53" s="8"/>
      <c r="I53" s="8"/>
      <c r="J53" s="8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6">
        <v>44.0</v>
      </c>
      <c r="B54" s="7" t="s">
        <v>111</v>
      </c>
      <c r="C54" s="6" t="s">
        <v>107</v>
      </c>
      <c r="D54" s="9">
        <v>0.0</v>
      </c>
      <c r="E54" s="11" t="s">
        <v>112</v>
      </c>
      <c r="F54" s="8"/>
      <c r="G54" s="8"/>
      <c r="H54" s="8"/>
      <c r="I54" s="8"/>
      <c r="J54" s="8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5" t="s">
        <v>113</v>
      </c>
      <c r="B55" s="12"/>
      <c r="C55" s="12"/>
      <c r="D55" s="13"/>
      <c r="E55" s="12"/>
      <c r="F55" s="8"/>
      <c r="G55" s="8"/>
      <c r="H55" s="8"/>
      <c r="I55" s="8"/>
      <c r="J55" s="8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6">
        <v>45.0</v>
      </c>
      <c r="B56" s="7" t="s">
        <v>114</v>
      </c>
      <c r="C56" s="8"/>
      <c r="D56" s="9">
        <v>4.0</v>
      </c>
      <c r="E56" s="11" t="s">
        <v>115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6">
        <v>46.0</v>
      </c>
      <c r="B57" s="7" t="s">
        <v>116</v>
      </c>
      <c r="C57" s="8"/>
      <c r="D57" s="9" t="s">
        <v>117</v>
      </c>
      <c r="E57" s="11" t="s">
        <v>118</v>
      </c>
      <c r="F57" s="1"/>
      <c r="G57" s="1"/>
      <c r="H57" s="1"/>
      <c r="I57" s="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5" t="s">
        <v>119</v>
      </c>
      <c r="B58" s="12"/>
      <c r="C58" s="12"/>
      <c r="D58" s="13"/>
      <c r="E58" s="12"/>
      <c r="F58" s="8"/>
      <c r="G58" s="8"/>
      <c r="H58" s="8"/>
      <c r="I58" s="8"/>
      <c r="J58" s="8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6">
        <v>47.0</v>
      </c>
      <c r="B59" s="7" t="s">
        <v>120</v>
      </c>
      <c r="C59" s="6" t="s">
        <v>121</v>
      </c>
      <c r="D59" s="9">
        <v>150.0</v>
      </c>
      <c r="E59" s="11" t="s">
        <v>122</v>
      </c>
      <c r="F59" s="8"/>
      <c r="G59" s="8"/>
      <c r="H59" s="8"/>
      <c r="I59" s="8"/>
      <c r="J59" s="8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6">
        <v>48.0</v>
      </c>
      <c r="B60" s="7" t="s">
        <v>123</v>
      </c>
      <c r="C60" s="6" t="s">
        <v>124</v>
      </c>
      <c r="D60" s="9">
        <v>51.8</v>
      </c>
      <c r="E60" s="11" t="s">
        <v>125</v>
      </c>
      <c r="F60" s="8"/>
      <c r="G60" s="8"/>
      <c r="H60" s="8"/>
      <c r="I60" s="8"/>
      <c r="J60" s="8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6">
        <v>49.0</v>
      </c>
      <c r="B61" s="7" t="s">
        <v>126</v>
      </c>
      <c r="C61" s="6" t="s">
        <v>127</v>
      </c>
      <c r="D61" s="9">
        <v>0.008</v>
      </c>
      <c r="E61" s="11" t="s">
        <v>128</v>
      </c>
      <c r="F61" s="8"/>
      <c r="G61" s="8"/>
      <c r="H61" s="8"/>
      <c r="I61" s="8"/>
      <c r="J61" s="8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6">
        <v>50.0</v>
      </c>
      <c r="B62" s="7" t="s">
        <v>129</v>
      </c>
      <c r="C62" s="6" t="s">
        <v>130</v>
      </c>
      <c r="D62" s="9">
        <v>4.1</v>
      </c>
      <c r="E62" s="8"/>
      <c r="F62" s="8"/>
      <c r="G62" s="8"/>
      <c r="H62" s="8"/>
      <c r="I62" s="8"/>
      <c r="J62" s="8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6">
        <v>51.0</v>
      </c>
      <c r="B63" s="7" t="s">
        <v>131</v>
      </c>
      <c r="C63" s="6" t="s">
        <v>130</v>
      </c>
      <c r="D63" s="9">
        <v>245.0</v>
      </c>
      <c r="E63" s="11" t="s">
        <v>132</v>
      </c>
      <c r="F63" s="8"/>
      <c r="G63" s="8"/>
      <c r="H63" s="8"/>
      <c r="I63" s="8"/>
      <c r="J63" s="8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6">
        <v>52.0</v>
      </c>
      <c r="B64" s="7" t="s">
        <v>133</v>
      </c>
      <c r="C64" s="6" t="s">
        <v>134</v>
      </c>
      <c r="D64" s="9">
        <v>441.45</v>
      </c>
      <c r="E64" s="11" t="s">
        <v>135</v>
      </c>
      <c r="F64" s="8"/>
      <c r="G64" s="8"/>
      <c r="H64" s="8"/>
      <c r="I64" s="8"/>
      <c r="J64" s="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6">
        <v>53.0</v>
      </c>
      <c r="B65" s="7" t="s">
        <v>136</v>
      </c>
      <c r="C65" s="6" t="s">
        <v>134</v>
      </c>
      <c r="D65" s="9">
        <v>56.1</v>
      </c>
      <c r="E65" s="8" t="s">
        <v>137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8">
        <v>54.0</v>
      </c>
      <c r="B66" s="19" t="s">
        <v>138</v>
      </c>
      <c r="C66" s="18" t="s">
        <v>134</v>
      </c>
      <c r="D66" s="15">
        <v>14.95</v>
      </c>
      <c r="E66" s="1" t="s">
        <v>139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5" t="s">
        <v>140</v>
      </c>
      <c r="B67" s="12"/>
      <c r="C67" s="12"/>
      <c r="D67" s="13"/>
      <c r="E67" s="1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6">
        <v>55.0</v>
      </c>
      <c r="B68" s="7" t="s">
        <v>141</v>
      </c>
      <c r="C68" s="8"/>
      <c r="D68" s="15" t="s">
        <v>142</v>
      </c>
      <c r="E68" s="11" t="s">
        <v>143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6">
        <v>56.0</v>
      </c>
      <c r="B69" s="7" t="s">
        <v>144</v>
      </c>
      <c r="C69" s="6" t="s">
        <v>32</v>
      </c>
      <c r="D69" s="9" t="s">
        <v>145</v>
      </c>
      <c r="E69" s="11" t="s">
        <v>146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6">
        <v>57.0</v>
      </c>
      <c r="B70" s="7" t="s">
        <v>147</v>
      </c>
      <c r="C70" s="6" t="s">
        <v>32</v>
      </c>
      <c r="D70" s="9">
        <f>M9-M8</f>
        <v>-0.530188</v>
      </c>
      <c r="E70" s="11" t="s">
        <v>148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0">
        <v>58.0</v>
      </c>
      <c r="B71" s="7" t="s">
        <v>149</v>
      </c>
      <c r="C71" s="6" t="s">
        <v>32</v>
      </c>
      <c r="D71" s="9">
        <f>N9-N8</f>
        <v>1.183447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0">
        <v>59.0</v>
      </c>
      <c r="B72" s="7" t="s">
        <v>150</v>
      </c>
      <c r="C72" s="6" t="s">
        <v>32</v>
      </c>
      <c r="D72" s="9">
        <f>O9-O8</f>
        <v>0.044669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6">
        <v>60.0</v>
      </c>
      <c r="B73" s="7" t="s">
        <v>151</v>
      </c>
      <c r="C73" s="6" t="s">
        <v>58</v>
      </c>
      <c r="D73" s="9">
        <v>0.0</v>
      </c>
      <c r="E73" s="11" t="s">
        <v>152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6">
        <v>61.0</v>
      </c>
      <c r="B74" s="7" t="s">
        <v>153</v>
      </c>
      <c r="C74" s="8"/>
      <c r="D74" s="9" t="s">
        <v>154</v>
      </c>
      <c r="E74" s="11" t="s">
        <v>155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6">
        <v>62.0</v>
      </c>
      <c r="B75" s="7" t="s">
        <v>156</v>
      </c>
      <c r="C75" s="8"/>
      <c r="D75" s="9" t="s">
        <v>157</v>
      </c>
      <c r="E75" s="11" t="s">
        <v>158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6">
        <v>63.0</v>
      </c>
      <c r="B76" s="7" t="s">
        <v>159</v>
      </c>
      <c r="C76" s="8"/>
      <c r="D76" s="9" t="s">
        <v>160</v>
      </c>
      <c r="E76" s="11" t="s">
        <v>161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6">
        <v>64.0</v>
      </c>
      <c r="B77" s="7" t="s">
        <v>162</v>
      </c>
      <c r="C77" s="6" t="s">
        <v>58</v>
      </c>
      <c r="D77" s="9" t="s">
        <v>163</v>
      </c>
      <c r="E77" s="11" t="s">
        <v>152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6">
        <v>65.0</v>
      </c>
      <c r="B78" s="7" t="s">
        <v>164</v>
      </c>
      <c r="C78" s="6" t="s">
        <v>32</v>
      </c>
      <c r="D78" s="9">
        <f>M10-M8</f>
        <v>-0.530188</v>
      </c>
      <c r="E78" s="11" t="s">
        <v>148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0">
        <v>66.0</v>
      </c>
      <c r="B79" s="7" t="s">
        <v>165</v>
      </c>
      <c r="C79" s="6" t="s">
        <v>32</v>
      </c>
      <c r="D79" s="9">
        <f>N10-N8</f>
        <v>-1.183447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0">
        <v>67.0</v>
      </c>
      <c r="B80" s="7" t="s">
        <v>166</v>
      </c>
      <c r="C80" s="6" t="s">
        <v>32</v>
      </c>
      <c r="D80" s="9">
        <f>O10-O8</f>
        <v>0.044669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6">
        <v>68.0</v>
      </c>
      <c r="B81" s="7" t="s">
        <v>167</v>
      </c>
      <c r="C81" s="6" t="s">
        <v>58</v>
      </c>
      <c r="D81" s="9">
        <v>0.0</v>
      </c>
      <c r="E81" s="11" t="s">
        <v>152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6">
        <v>69.0</v>
      </c>
      <c r="B82" s="7" t="s">
        <v>168</v>
      </c>
      <c r="C82" s="8"/>
      <c r="D82" s="9" t="s">
        <v>169</v>
      </c>
      <c r="E82" s="11" t="s">
        <v>155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6">
        <v>70.0</v>
      </c>
      <c r="B83" s="7" t="s">
        <v>170</v>
      </c>
      <c r="C83" s="8"/>
      <c r="D83" s="9" t="s">
        <v>157</v>
      </c>
      <c r="E83" s="11" t="s">
        <v>158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6">
        <v>71.0</v>
      </c>
      <c r="B84" s="7" t="s">
        <v>171</v>
      </c>
      <c r="C84" s="8"/>
      <c r="D84" s="9" t="s">
        <v>160</v>
      </c>
      <c r="E84" s="11" t="s">
        <v>161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6">
        <v>72.0</v>
      </c>
      <c r="B85" s="7" t="s">
        <v>172</v>
      </c>
      <c r="C85" s="6" t="s">
        <v>58</v>
      </c>
      <c r="D85" s="9" t="s">
        <v>163</v>
      </c>
      <c r="E85" s="11" t="s">
        <v>152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6">
        <v>73.0</v>
      </c>
      <c r="B86" s="7" t="s">
        <v>173</v>
      </c>
      <c r="C86" s="6" t="s">
        <v>32</v>
      </c>
      <c r="D86" s="9">
        <f>M11-M8</f>
        <v>0.576853</v>
      </c>
      <c r="E86" s="11" t="s">
        <v>148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0">
        <v>74.0</v>
      </c>
      <c r="B87" s="7" t="s">
        <v>174</v>
      </c>
      <c r="C87" s="6" t="s">
        <v>32</v>
      </c>
      <c r="D87" s="9">
        <f>N11-N8</f>
        <v>1.183447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0">
        <v>75.0</v>
      </c>
      <c r="B88" s="7" t="s">
        <v>175</v>
      </c>
      <c r="C88" s="6" t="s">
        <v>32</v>
      </c>
      <c r="D88" s="9">
        <f>O11-O8</f>
        <v>-0.028862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6">
        <v>76.0</v>
      </c>
      <c r="B89" s="7" t="s">
        <v>176</v>
      </c>
      <c r="C89" s="6" t="s">
        <v>58</v>
      </c>
      <c r="D89" s="9">
        <v>0.0</v>
      </c>
      <c r="E89" s="11" t="s">
        <v>152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6">
        <v>77.0</v>
      </c>
      <c r="B90" s="7" t="s">
        <v>177</v>
      </c>
      <c r="C90" s="8"/>
      <c r="D90" s="9" t="s">
        <v>169</v>
      </c>
      <c r="E90" s="11" t="s">
        <v>155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6">
        <v>78.0</v>
      </c>
      <c r="B91" s="7" t="s">
        <v>178</v>
      </c>
      <c r="C91" s="8"/>
      <c r="D91" s="9" t="s">
        <v>179</v>
      </c>
      <c r="E91" s="11" t="s">
        <v>158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6">
        <v>79.0</v>
      </c>
      <c r="B92" s="7" t="s">
        <v>180</v>
      </c>
      <c r="C92" s="8"/>
      <c r="D92" s="9" t="s">
        <v>38</v>
      </c>
      <c r="E92" s="11" t="s">
        <v>161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6">
        <v>80.0</v>
      </c>
      <c r="B93" s="7" t="s">
        <v>181</v>
      </c>
      <c r="C93" s="6" t="s">
        <v>58</v>
      </c>
      <c r="D93" s="9" t="s">
        <v>38</v>
      </c>
      <c r="E93" s="11" t="s">
        <v>182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6">
        <v>81.0</v>
      </c>
      <c r="B94" s="7" t="s">
        <v>183</v>
      </c>
      <c r="C94" s="6" t="s">
        <v>32</v>
      </c>
      <c r="D94" s="9">
        <f>M12-M8</f>
        <v>0.576853</v>
      </c>
      <c r="E94" s="11" t="s">
        <v>148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0">
        <v>82.0</v>
      </c>
      <c r="B95" s="7" t="s">
        <v>184</v>
      </c>
      <c r="C95" s="6" t="s">
        <v>32</v>
      </c>
      <c r="D95" s="9">
        <f>N12-N8</f>
        <v>-1.183447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0">
        <v>83.0</v>
      </c>
      <c r="B96" s="7" t="s">
        <v>185</v>
      </c>
      <c r="C96" s="6" t="s">
        <v>32</v>
      </c>
      <c r="D96" s="9">
        <f>O12-O8</f>
        <v>-0.028862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6">
        <v>84.0</v>
      </c>
      <c r="B97" s="7" t="s">
        <v>186</v>
      </c>
      <c r="C97" s="6" t="s">
        <v>58</v>
      </c>
      <c r="D97" s="9">
        <v>0.0</v>
      </c>
      <c r="E97" s="11" t="s">
        <v>152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6">
        <v>85.0</v>
      </c>
      <c r="B98" s="7" t="s">
        <v>187</v>
      </c>
      <c r="C98" s="8"/>
      <c r="D98" s="9" t="s">
        <v>154</v>
      </c>
      <c r="E98" s="11" t="s">
        <v>155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6">
        <v>86.0</v>
      </c>
      <c r="B99" s="7" t="s">
        <v>188</v>
      </c>
      <c r="C99" s="8"/>
      <c r="D99" s="9" t="s">
        <v>179</v>
      </c>
      <c r="E99" s="11" t="s">
        <v>158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6">
        <v>87.0</v>
      </c>
      <c r="B100" s="7" t="s">
        <v>189</v>
      </c>
      <c r="C100" s="8"/>
      <c r="D100" s="9" t="s">
        <v>38</v>
      </c>
      <c r="E100" s="11" t="s">
        <v>161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6">
        <v>88.0</v>
      </c>
      <c r="B101" s="7" t="s">
        <v>190</v>
      </c>
      <c r="C101" s="6" t="s">
        <v>58</v>
      </c>
      <c r="D101" s="9" t="s">
        <v>38</v>
      </c>
      <c r="E101" s="11" t="s">
        <v>182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20">
        <v>89.0</v>
      </c>
      <c r="B102" s="21" t="s">
        <v>191</v>
      </c>
      <c r="C102" s="20" t="s">
        <v>32</v>
      </c>
      <c r="D102" s="14" t="s">
        <v>38</v>
      </c>
      <c r="E102" s="22" t="s">
        <v>148</v>
      </c>
      <c r="F102" s="1" t="s">
        <v>192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23">
        <v>90.0</v>
      </c>
      <c r="B103" s="21" t="s">
        <v>193</v>
      </c>
      <c r="C103" s="20" t="s">
        <v>32</v>
      </c>
      <c r="D103" s="14" t="s">
        <v>38</v>
      </c>
      <c r="E103" s="24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23">
        <v>91.0</v>
      </c>
      <c r="B104" s="21" t="s">
        <v>194</v>
      </c>
      <c r="C104" s="20" t="s">
        <v>32</v>
      </c>
      <c r="D104" s="14" t="s">
        <v>38</v>
      </c>
      <c r="E104" s="24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20">
        <v>92.0</v>
      </c>
      <c r="B105" s="21" t="s">
        <v>195</v>
      </c>
      <c r="C105" s="20" t="s">
        <v>58</v>
      </c>
      <c r="D105" s="14" t="s">
        <v>38</v>
      </c>
      <c r="E105" s="22" t="s">
        <v>152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20">
        <v>93.0</v>
      </c>
      <c r="B106" s="21" t="s">
        <v>196</v>
      </c>
      <c r="C106" s="25"/>
      <c r="D106" s="14" t="s">
        <v>38</v>
      </c>
      <c r="E106" s="22" t="s">
        <v>155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20">
        <v>94.0</v>
      </c>
      <c r="B107" s="21" t="s">
        <v>197</v>
      </c>
      <c r="C107" s="25"/>
      <c r="D107" s="14" t="s">
        <v>38</v>
      </c>
      <c r="E107" s="22" t="s">
        <v>158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20">
        <v>95.0</v>
      </c>
      <c r="B108" s="21" t="s">
        <v>198</v>
      </c>
      <c r="C108" s="25"/>
      <c r="D108" s="14" t="s">
        <v>38</v>
      </c>
      <c r="E108" s="22" t="s">
        <v>161</v>
      </c>
      <c r="F108" s="1"/>
      <c r="G108" s="1"/>
      <c r="H108" s="1"/>
      <c r="I108" s="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20">
        <v>96.0</v>
      </c>
      <c r="B109" s="21" t="s">
        <v>199</v>
      </c>
      <c r="C109" s="20" t="s">
        <v>58</v>
      </c>
      <c r="D109" s="14" t="s">
        <v>38</v>
      </c>
      <c r="E109" s="22" t="s">
        <v>182</v>
      </c>
      <c r="F109" s="1"/>
      <c r="G109" s="1"/>
      <c r="H109" s="1"/>
      <c r="I109" s="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5" t="s">
        <v>200</v>
      </c>
      <c r="B110" s="12"/>
      <c r="C110" s="12"/>
      <c r="D110" s="13"/>
      <c r="E110" s="12"/>
      <c r="F110" s="8"/>
      <c r="G110" s="8"/>
      <c r="H110" s="8"/>
      <c r="I110" s="8"/>
      <c r="J110" s="8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6">
        <v>97.0</v>
      </c>
      <c r="B111" s="7" t="s">
        <v>201</v>
      </c>
      <c r="C111" s="6" t="s">
        <v>202</v>
      </c>
      <c r="D111" s="9">
        <v>812.8</v>
      </c>
      <c r="E111" s="11" t="s">
        <v>203</v>
      </c>
      <c r="F111" s="8"/>
      <c r="G111" s="8"/>
      <c r="H111" s="8"/>
      <c r="I111" s="8"/>
      <c r="J111" s="8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6">
        <v>98.0</v>
      </c>
      <c r="B112" s="7" t="s">
        <v>204</v>
      </c>
      <c r="C112" s="8"/>
      <c r="D112" s="9">
        <v>2.0</v>
      </c>
      <c r="E112" s="8"/>
      <c r="F112" s="8"/>
      <c r="G112" s="8"/>
      <c r="H112" s="8"/>
      <c r="I112" s="8"/>
      <c r="J112" s="8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6">
        <v>99.0</v>
      </c>
      <c r="B113" s="7" t="s">
        <v>205</v>
      </c>
      <c r="C113" s="6" t="s">
        <v>202</v>
      </c>
      <c r="D113" s="9">
        <v>304.8</v>
      </c>
      <c r="E113" s="8"/>
      <c r="F113" s="8"/>
      <c r="G113" s="8"/>
      <c r="H113" s="8"/>
      <c r="I113" s="8"/>
      <c r="J113" s="8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6">
        <v>100.0</v>
      </c>
      <c r="B114" s="7" t="s">
        <v>206</v>
      </c>
      <c r="C114" s="8"/>
      <c r="D114" s="9" t="s">
        <v>207</v>
      </c>
      <c r="E114" s="11" t="s">
        <v>208</v>
      </c>
      <c r="F114" s="1"/>
      <c r="G114" s="1"/>
      <c r="H114" s="1"/>
      <c r="I114" s="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6">
        <v>101.0</v>
      </c>
      <c r="B115" s="7" t="s">
        <v>209</v>
      </c>
      <c r="C115" s="6" t="s">
        <v>107</v>
      </c>
      <c r="D115" s="14">
        <v>0.01465</v>
      </c>
      <c r="E115" s="8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6">
        <v>102.0</v>
      </c>
      <c r="B116" s="7" t="s">
        <v>210</v>
      </c>
      <c r="C116" s="8"/>
      <c r="D116" s="9" t="s">
        <v>211</v>
      </c>
      <c r="E116" s="11" t="s">
        <v>212</v>
      </c>
      <c r="F116" s="8"/>
      <c r="G116" s="8"/>
      <c r="H116" s="8"/>
      <c r="I116" s="8"/>
      <c r="J116" s="8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6">
        <v>103.0</v>
      </c>
      <c r="B117" s="7" t="s">
        <v>213</v>
      </c>
      <c r="C117" s="8"/>
      <c r="D117" s="9" t="s">
        <v>214</v>
      </c>
      <c r="E117" s="11" t="s">
        <v>215</v>
      </c>
      <c r="F117" s="8"/>
      <c r="G117" s="8"/>
      <c r="H117" s="8"/>
      <c r="I117" s="8"/>
      <c r="J117" s="8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6">
        <v>104.0</v>
      </c>
      <c r="B118" s="7" t="s">
        <v>216</v>
      </c>
      <c r="C118" s="8"/>
      <c r="D118" s="9" t="s">
        <v>214</v>
      </c>
      <c r="E118" s="11" t="s">
        <v>217</v>
      </c>
      <c r="F118" s="8"/>
      <c r="G118" s="8"/>
      <c r="H118" s="8"/>
      <c r="I118" s="8"/>
      <c r="J118" s="8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6">
        <v>105.0</v>
      </c>
      <c r="B119" s="7" t="s">
        <v>218</v>
      </c>
      <c r="C119" s="8"/>
      <c r="D119" s="9" t="s">
        <v>211</v>
      </c>
      <c r="E119" s="11" t="s">
        <v>219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26" t="s">
        <v>220</v>
      </c>
      <c r="B120" s="12"/>
      <c r="C120" s="12"/>
      <c r="D120" s="13"/>
      <c r="E120" s="1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5" t="s">
        <v>221</v>
      </c>
      <c r="B121" s="12"/>
      <c r="C121" s="12"/>
      <c r="D121" s="13"/>
      <c r="E121" s="12"/>
      <c r="F121" s="1"/>
      <c r="G121" s="1"/>
      <c r="H121" s="1"/>
      <c r="I121" s="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6">
        <v>106.0</v>
      </c>
      <c r="B122" s="7" t="s">
        <v>222</v>
      </c>
      <c r="C122" s="8"/>
      <c r="D122" s="9">
        <v>0.4304</v>
      </c>
      <c r="E122" s="8"/>
      <c r="F122" s="8"/>
      <c r="G122" s="8"/>
      <c r="H122" s="8"/>
      <c r="I122" s="8"/>
      <c r="J122" s="8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6">
        <v>107.0</v>
      </c>
      <c r="B123" s="7" t="s">
        <v>223</v>
      </c>
      <c r="C123" s="6" t="s">
        <v>224</v>
      </c>
      <c r="D123" s="9">
        <v>3.8534</v>
      </c>
      <c r="E123" s="8"/>
      <c r="F123" s="8"/>
      <c r="G123" s="8"/>
      <c r="H123" s="8"/>
      <c r="I123" s="8"/>
      <c r="J123" s="8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6">
        <v>108.0</v>
      </c>
      <c r="B124" s="7" t="s">
        <v>225</v>
      </c>
      <c r="C124" s="8"/>
      <c r="D124" s="9">
        <v>2.09</v>
      </c>
      <c r="E124" s="11" t="s">
        <v>226</v>
      </c>
      <c r="F124" s="1"/>
      <c r="G124" s="1"/>
      <c r="H124" s="1"/>
      <c r="I124" s="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6">
        <v>109.0</v>
      </c>
      <c r="B125" s="7" t="s">
        <v>227</v>
      </c>
      <c r="C125" s="6" t="s">
        <v>58</v>
      </c>
      <c r="D125" s="9">
        <v>24.7</v>
      </c>
      <c r="E125" s="8"/>
      <c r="F125" s="8"/>
      <c r="G125" s="8"/>
      <c r="H125" s="8"/>
      <c r="I125" s="8"/>
      <c r="J125" s="8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27" t="s">
        <v>228</v>
      </c>
      <c r="B126" s="12"/>
      <c r="C126" s="12"/>
      <c r="D126" s="13"/>
      <c r="E126" s="12"/>
      <c r="F126" s="8"/>
      <c r="G126" s="8"/>
      <c r="H126" s="8"/>
      <c r="I126" s="8"/>
      <c r="J126" s="8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8">
        <v>110.0</v>
      </c>
      <c r="B127" s="19" t="s">
        <v>229</v>
      </c>
      <c r="C127" s="1"/>
      <c r="D127" s="18">
        <v>0.10007</v>
      </c>
      <c r="E127" s="1"/>
      <c r="F127" s="8"/>
      <c r="G127" s="8"/>
      <c r="H127" s="8"/>
      <c r="I127" s="8"/>
      <c r="J127" s="8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6">
        <v>111.0</v>
      </c>
      <c r="B128" s="7" t="s">
        <v>230</v>
      </c>
      <c r="C128" s="8"/>
      <c r="D128" s="9">
        <v>0.08233</v>
      </c>
      <c r="E128" s="11" t="s">
        <v>231</v>
      </c>
      <c r="F128" s="8"/>
      <c r="G128" s="8"/>
      <c r="H128" s="8"/>
      <c r="I128" s="8"/>
      <c r="J128" s="8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6">
        <v>112.0</v>
      </c>
      <c r="B129" s="7" t="s">
        <v>232</v>
      </c>
      <c r="C129" s="6" t="s">
        <v>224</v>
      </c>
      <c r="D129" s="9">
        <v>0.31757</v>
      </c>
      <c r="E129" s="11" t="s">
        <v>233</v>
      </c>
      <c r="F129" s="8"/>
      <c r="G129" s="8"/>
      <c r="H129" s="8"/>
      <c r="I129" s="8"/>
      <c r="J129" s="8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6">
        <v>113.0</v>
      </c>
      <c r="B130" s="7" t="s">
        <v>234</v>
      </c>
      <c r="C130" s="8"/>
      <c r="D130" s="9">
        <v>0.95</v>
      </c>
      <c r="E130" s="11" t="s">
        <v>235</v>
      </c>
      <c r="F130" s="8"/>
      <c r="G130" s="8"/>
      <c r="H130" s="8"/>
      <c r="I130" s="8"/>
      <c r="J130" s="8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26" t="s">
        <v>236</v>
      </c>
      <c r="B131" s="28"/>
      <c r="C131" s="28"/>
      <c r="D131" s="28"/>
      <c r="E131" s="28"/>
      <c r="F131" s="1"/>
      <c r="G131" s="1"/>
      <c r="H131" s="1"/>
      <c r="I131" s="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29">
        <v>114.0</v>
      </c>
      <c r="B132" s="19" t="s">
        <v>237</v>
      </c>
      <c r="C132" s="1"/>
      <c r="D132" s="18">
        <v>4.3</v>
      </c>
      <c r="E132" s="19" t="s">
        <v>238</v>
      </c>
      <c r="F132" s="8"/>
      <c r="G132" s="8"/>
      <c r="H132" s="8"/>
      <c r="I132" s="8"/>
      <c r="J132" s="8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5" t="s">
        <v>239</v>
      </c>
      <c r="B133" s="12"/>
      <c r="C133" s="12"/>
      <c r="D133" s="13"/>
      <c r="E133" s="12"/>
      <c r="F133" s="8"/>
      <c r="G133" s="8"/>
      <c r="H133" s="8"/>
      <c r="I133" s="8"/>
      <c r="J133" s="8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6">
        <v>115.0</v>
      </c>
      <c r="B134" s="7" t="s">
        <v>240</v>
      </c>
      <c r="C134" s="8"/>
      <c r="D134" s="9">
        <v>0.0</v>
      </c>
      <c r="E134" s="11" t="s">
        <v>241</v>
      </c>
      <c r="F134" s="8"/>
      <c r="G134" s="8"/>
      <c r="H134" s="8"/>
      <c r="I134" s="8"/>
      <c r="J134" s="8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6">
        <v>116.0</v>
      </c>
      <c r="B135" s="7" t="s">
        <v>242</v>
      </c>
      <c r="C135" s="6" t="s">
        <v>224</v>
      </c>
      <c r="D135" s="9">
        <v>-0.4059</v>
      </c>
      <c r="E135" s="8"/>
      <c r="F135" s="8"/>
      <c r="G135" s="8"/>
      <c r="H135" s="8"/>
      <c r="I135" s="8"/>
      <c r="J135" s="8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5" t="s">
        <v>243</v>
      </c>
      <c r="B136" s="12"/>
      <c r="C136" s="12"/>
      <c r="D136" s="13"/>
      <c r="E136" s="12"/>
      <c r="F136" s="8"/>
      <c r="G136" s="8"/>
      <c r="H136" s="8"/>
      <c r="I136" s="8"/>
      <c r="J136" s="8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6">
        <v>117.0</v>
      </c>
      <c r="B137" s="7" t="s">
        <v>244</v>
      </c>
      <c r="C137" s="8"/>
      <c r="D137" s="9">
        <v>-0.35478</v>
      </c>
      <c r="E137" s="11" t="s">
        <v>245</v>
      </c>
      <c r="F137" s="8"/>
      <c r="G137" s="8"/>
      <c r="H137" s="8"/>
      <c r="I137" s="8"/>
      <c r="J137" s="8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6">
        <v>118.0</v>
      </c>
      <c r="B138" s="7" t="s">
        <v>246</v>
      </c>
      <c r="C138" s="6" t="s">
        <v>224</v>
      </c>
      <c r="D138" s="9">
        <v>-1.4934</v>
      </c>
      <c r="E138" s="11" t="s">
        <v>247</v>
      </c>
      <c r="F138" s="1"/>
      <c r="G138" s="1"/>
      <c r="H138" s="1"/>
      <c r="I138" s="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6">
        <v>119.0</v>
      </c>
      <c r="B139" s="7" t="s">
        <v>248</v>
      </c>
      <c r="C139" s="8"/>
      <c r="D139" s="9">
        <v>0.0</v>
      </c>
      <c r="E139" s="11" t="s">
        <v>249</v>
      </c>
      <c r="F139" s="8"/>
      <c r="G139" s="8"/>
      <c r="H139" s="8"/>
      <c r="I139" s="8"/>
      <c r="J139" s="8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6">
        <v>120.0</v>
      </c>
      <c r="B140" s="7" t="s">
        <v>250</v>
      </c>
      <c r="C140" s="6" t="s">
        <v>224</v>
      </c>
      <c r="D140" s="9">
        <v>0.0</v>
      </c>
      <c r="E140" s="11" t="s">
        <v>251</v>
      </c>
      <c r="F140" s="8"/>
      <c r="G140" s="8"/>
      <c r="H140" s="8"/>
      <c r="I140" s="8"/>
      <c r="J140" s="8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6">
        <v>121.0</v>
      </c>
      <c r="B141" s="7" t="s">
        <v>252</v>
      </c>
      <c r="C141" s="8"/>
      <c r="D141" s="9">
        <v>0.0</v>
      </c>
      <c r="E141" s="11" t="s">
        <v>249</v>
      </c>
      <c r="F141" s="8"/>
      <c r="G141" s="8"/>
      <c r="H141" s="8"/>
      <c r="I141" s="8"/>
      <c r="J141" s="8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6">
        <v>122.0</v>
      </c>
      <c r="B142" s="7" t="s">
        <v>253</v>
      </c>
      <c r="C142" s="6" t="s">
        <v>224</v>
      </c>
      <c r="D142" s="9">
        <v>0.3741</v>
      </c>
      <c r="E142" s="11" t="s">
        <v>254</v>
      </c>
      <c r="F142" s="1"/>
      <c r="G142" s="1"/>
      <c r="H142" s="1"/>
      <c r="I142" s="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5" t="s">
        <v>255</v>
      </c>
      <c r="B143" s="12"/>
      <c r="C143" s="12"/>
      <c r="D143" s="13"/>
      <c r="E143" s="12"/>
      <c r="F143" s="8"/>
      <c r="G143" s="8"/>
      <c r="H143" s="8"/>
      <c r="I143" s="8"/>
      <c r="J143" s="8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6">
        <v>123.0</v>
      </c>
      <c r="B144" s="7" t="s">
        <v>256</v>
      </c>
      <c r="C144" s="8"/>
      <c r="D144" s="9">
        <v>-23.506</v>
      </c>
      <c r="E144" s="8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6">
        <v>124.0</v>
      </c>
      <c r="B145" s="7" t="s">
        <v>257</v>
      </c>
      <c r="C145" s="8"/>
      <c r="D145" s="9">
        <v>-15.5652</v>
      </c>
      <c r="E145" s="8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6">
        <v>125.0</v>
      </c>
      <c r="B146" s="7" t="s">
        <v>258</v>
      </c>
      <c r="C146" s="8"/>
      <c r="D146" s="9">
        <v>-0.6422</v>
      </c>
      <c r="E146" s="8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6">
        <v>126.0</v>
      </c>
      <c r="B147" s="7" t="s">
        <v>259</v>
      </c>
      <c r="C147" s="8"/>
      <c r="D147" s="9">
        <v>-0.6357</v>
      </c>
      <c r="E147" s="8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6">
        <v>127.0</v>
      </c>
      <c r="B148" s="7" t="s">
        <v>260</v>
      </c>
      <c r="C148" s="8"/>
      <c r="D148" s="9">
        <v>4.3527</v>
      </c>
      <c r="E148" s="8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0">
        <v>128.0</v>
      </c>
      <c r="B149" s="7" t="s">
        <v>261</v>
      </c>
      <c r="C149" s="8"/>
      <c r="D149" s="9">
        <v>6.5733</v>
      </c>
      <c r="E149" s="8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5" t="s">
        <v>262</v>
      </c>
      <c r="B150" s="12"/>
      <c r="C150" s="12"/>
      <c r="D150" s="13"/>
      <c r="E150" s="1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6">
        <v>129.0</v>
      </c>
      <c r="B151" s="7" t="s">
        <v>263</v>
      </c>
      <c r="C151" s="8"/>
      <c r="D151" s="9" t="s">
        <v>38</v>
      </c>
      <c r="E151" s="11" t="s">
        <v>264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6">
        <v>130.0</v>
      </c>
      <c r="B152" s="7" t="s">
        <v>265</v>
      </c>
      <c r="C152" s="8"/>
      <c r="D152" s="9" t="s">
        <v>38</v>
      </c>
      <c r="E152" s="11" t="s">
        <v>266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6">
        <v>131.0</v>
      </c>
      <c r="B153" s="7" t="s">
        <v>267</v>
      </c>
      <c r="C153" s="8"/>
      <c r="D153" s="9" t="s">
        <v>38</v>
      </c>
      <c r="E153" s="11" t="s">
        <v>268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5" t="s">
        <v>269</v>
      </c>
      <c r="B154" s="12"/>
      <c r="C154" s="12"/>
      <c r="D154" s="13"/>
      <c r="E154" s="1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6">
        <v>132.0</v>
      </c>
      <c r="B155" s="7" t="s">
        <v>270</v>
      </c>
      <c r="C155" s="8"/>
      <c r="D155" s="14" t="s">
        <v>214</v>
      </c>
      <c r="E155" s="11" t="s">
        <v>271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1" t="s">
        <v>272</v>
      </c>
      <c r="B156" s="12"/>
      <c r="C156" s="12"/>
      <c r="D156" s="13"/>
      <c r="E156" s="1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6">
        <v>133.0</v>
      </c>
      <c r="B157" s="7" t="s">
        <v>273</v>
      </c>
      <c r="C157" s="8"/>
      <c r="D157" s="9" t="s">
        <v>274</v>
      </c>
      <c r="E157" s="11" t="s">
        <v>275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6">
        <v>134.0</v>
      </c>
      <c r="B158" s="7" t="s">
        <v>276</v>
      </c>
      <c r="C158" s="6" t="s">
        <v>58</v>
      </c>
      <c r="D158" s="9" t="s">
        <v>277</v>
      </c>
      <c r="E158" s="11" t="s">
        <v>278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6">
        <v>135.0</v>
      </c>
      <c r="B159" s="7" t="s">
        <v>279</v>
      </c>
      <c r="C159" s="6" t="s">
        <v>58</v>
      </c>
      <c r="D159" s="9" t="s">
        <v>277</v>
      </c>
      <c r="E159" s="8" t="s">
        <v>278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6">
        <v>136.0</v>
      </c>
      <c r="B160" s="7" t="s">
        <v>280</v>
      </c>
      <c r="C160" s="6" t="s">
        <v>58</v>
      </c>
      <c r="D160" s="9" t="s">
        <v>281</v>
      </c>
      <c r="E160" s="8" t="s">
        <v>282</v>
      </c>
      <c r="F160" s="1"/>
      <c r="G160" s="1"/>
      <c r="H160" s="1"/>
      <c r="I160" s="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6">
        <v>137.0</v>
      </c>
      <c r="B161" s="7" t="s">
        <v>283</v>
      </c>
      <c r="C161" s="6" t="s">
        <v>58</v>
      </c>
      <c r="D161" s="9" t="s">
        <v>284</v>
      </c>
      <c r="E161" s="11" t="s">
        <v>285</v>
      </c>
      <c r="F161" s="8"/>
      <c r="G161" s="8"/>
      <c r="H161" s="8"/>
      <c r="I161" s="8"/>
      <c r="J161" s="8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6">
        <v>138.0</v>
      </c>
      <c r="B162" s="7" t="s">
        <v>286</v>
      </c>
      <c r="C162" s="6" t="s">
        <v>287</v>
      </c>
      <c r="D162" s="32">
        <v>46310.0</v>
      </c>
      <c r="E162" s="11" t="s">
        <v>288</v>
      </c>
      <c r="F162" s="8"/>
      <c r="G162" s="8"/>
      <c r="H162" s="8"/>
      <c r="I162" s="8"/>
      <c r="J162" s="8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6">
        <v>139.0</v>
      </c>
      <c r="B163" s="7" t="s">
        <v>289</v>
      </c>
      <c r="C163" s="6" t="s">
        <v>47</v>
      </c>
      <c r="D163" s="9">
        <v>0.0327495353</v>
      </c>
      <c r="E163" s="11" t="s">
        <v>290</v>
      </c>
      <c r="F163" s="8"/>
      <c r="G163" s="8"/>
      <c r="H163" s="8"/>
      <c r="I163" s="8"/>
      <c r="J163" s="8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6">
        <v>140.0</v>
      </c>
      <c r="B164" s="1"/>
      <c r="C164" s="6" t="s">
        <v>47</v>
      </c>
      <c r="D164" s="9">
        <v>0.0720291776</v>
      </c>
      <c r="E164" s="1" t="s">
        <v>291</v>
      </c>
      <c r="F164" s="8"/>
      <c r="G164" s="8"/>
      <c r="H164" s="8"/>
      <c r="I164" s="8"/>
      <c r="J164" s="8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6">
        <v>141.0</v>
      </c>
      <c r="B165" s="1"/>
      <c r="C165" s="6" t="s">
        <v>47</v>
      </c>
      <c r="D165" s="9">
        <v>0.016254</v>
      </c>
      <c r="E165" s="1" t="s">
        <v>292</v>
      </c>
      <c r="F165" s="8"/>
      <c r="G165" s="8"/>
      <c r="H165" s="8"/>
      <c r="I165" s="8"/>
      <c r="J165" s="8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6">
        <v>142.0</v>
      </c>
      <c r="B166" s="1"/>
      <c r="C166" s="6" t="s">
        <v>47</v>
      </c>
      <c r="D166" s="9">
        <v>0.016254</v>
      </c>
      <c r="E166" s="1" t="s">
        <v>293</v>
      </c>
      <c r="F166" s="8"/>
      <c r="G166" s="8"/>
      <c r="H166" s="8"/>
      <c r="I166" s="8"/>
      <c r="J166" s="8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5" t="s">
        <v>294</v>
      </c>
      <c r="B167" s="12"/>
      <c r="C167" s="12"/>
      <c r="D167" s="13"/>
      <c r="E167" s="12"/>
      <c r="F167" s="8"/>
      <c r="G167" s="8"/>
      <c r="H167" s="8"/>
      <c r="I167" s="8"/>
      <c r="J167" s="8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6">
        <v>143.0</v>
      </c>
      <c r="B168" s="7" t="s">
        <v>295</v>
      </c>
      <c r="C168" s="8"/>
      <c r="D168" s="9" t="s">
        <v>296</v>
      </c>
      <c r="E168" s="11" t="s">
        <v>297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6">
        <v>144.0</v>
      </c>
      <c r="B169" s="7" t="s">
        <v>298</v>
      </c>
      <c r="C169" s="8"/>
      <c r="D169" s="9" t="s">
        <v>211</v>
      </c>
      <c r="E169" s="11" t="s">
        <v>299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6">
        <v>145.0</v>
      </c>
      <c r="B170" s="7" t="s">
        <v>300</v>
      </c>
      <c r="C170" s="8"/>
      <c r="D170" s="9">
        <v>1.0</v>
      </c>
      <c r="E170" s="8" t="s">
        <v>301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6">
        <v>146.0</v>
      </c>
      <c r="B171" s="7" t="s">
        <v>302</v>
      </c>
      <c r="C171" s="6" t="s">
        <v>32</v>
      </c>
      <c r="D171" s="9">
        <v>0.0</v>
      </c>
      <c r="E171" s="11" t="s">
        <v>303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0">
        <v>147.0</v>
      </c>
      <c r="B172" s="7" t="s">
        <v>304</v>
      </c>
      <c r="C172" s="6" t="s">
        <v>32</v>
      </c>
      <c r="D172" s="9">
        <v>0.0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0">
        <v>148.0</v>
      </c>
      <c r="B173" s="7" t="s">
        <v>305</v>
      </c>
      <c r="C173" s="6" t="s">
        <v>32</v>
      </c>
      <c r="D173" s="9">
        <f>O15-O8</f>
        <v>-0.289075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6">
        <v>149.0</v>
      </c>
      <c r="B174" s="7" t="s">
        <v>306</v>
      </c>
      <c r="C174" s="6" t="s">
        <v>32</v>
      </c>
      <c r="D174" s="9">
        <v>0.188766</v>
      </c>
      <c r="E174" s="8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6">
        <v>150.0</v>
      </c>
      <c r="B175" s="7" t="s">
        <v>307</v>
      </c>
      <c r="C175" s="8"/>
      <c r="D175" s="9" t="s">
        <v>211</v>
      </c>
      <c r="E175" s="11" t="s">
        <v>308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6">
        <v>151.0</v>
      </c>
      <c r="B176" s="7" t="s">
        <v>309</v>
      </c>
      <c r="C176" s="8"/>
      <c r="D176" s="9" t="s">
        <v>211</v>
      </c>
      <c r="E176" s="11" t="s">
        <v>310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5" t="s">
        <v>311</v>
      </c>
      <c r="B177" s="12"/>
      <c r="C177" s="12"/>
      <c r="D177" s="13"/>
      <c r="E177" s="1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6">
        <v>152.0</v>
      </c>
      <c r="B178" s="7" t="s">
        <v>312</v>
      </c>
      <c r="C178" s="6" t="s">
        <v>313</v>
      </c>
      <c r="D178" s="9">
        <v>22.352</v>
      </c>
      <c r="E178" s="8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6">
        <v>153.0</v>
      </c>
      <c r="B179" s="7" t="s">
        <v>314</v>
      </c>
      <c r="C179" s="6" t="s">
        <v>313</v>
      </c>
      <c r="D179" s="9">
        <v>55.84</v>
      </c>
      <c r="E179" s="8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6">
        <v>154.0</v>
      </c>
      <c r="B180" s="7" t="s">
        <v>315</v>
      </c>
      <c r="C180" s="6" t="s">
        <v>313</v>
      </c>
      <c r="D180" s="9">
        <v>13.84</v>
      </c>
      <c r="E180" s="11" t="s">
        <v>316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6">
        <v>155.0</v>
      </c>
      <c r="B181" s="7" t="s">
        <v>317</v>
      </c>
      <c r="C181" s="6" t="s">
        <v>313</v>
      </c>
      <c r="D181" s="9">
        <v>47.09</v>
      </c>
      <c r="E181" s="8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6">
        <v>156.0</v>
      </c>
      <c r="B182" s="7" t="s">
        <v>318</v>
      </c>
      <c r="C182" s="6" t="s">
        <v>319</v>
      </c>
      <c r="D182" s="9">
        <v>56.7</v>
      </c>
      <c r="E182" s="8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6">
        <v>157.0</v>
      </c>
      <c r="B183" s="7" t="s">
        <v>320</v>
      </c>
      <c r="C183" s="6" t="s">
        <v>321</v>
      </c>
      <c r="D183" s="9">
        <v>91.44</v>
      </c>
      <c r="E183" s="8" t="s">
        <v>322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6">
        <v>158.0</v>
      </c>
      <c r="B184" s="7" t="s">
        <v>323</v>
      </c>
      <c r="C184" s="6" t="s">
        <v>85</v>
      </c>
      <c r="D184" s="9">
        <f>D45</f>
        <v>71.618418</v>
      </c>
      <c r="E184" s="8" t="s">
        <v>324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27" t="s">
        <v>325</v>
      </c>
      <c r="B185" s="12"/>
      <c r="C185" s="12"/>
      <c r="D185" s="13"/>
      <c r="E185" s="1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6">
        <v>159.0</v>
      </c>
      <c r="B186" s="7" t="s">
        <v>326</v>
      </c>
      <c r="C186" s="8"/>
      <c r="D186" s="9" t="s">
        <v>327</v>
      </c>
      <c r="E186" s="11" t="s">
        <v>328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6">
        <v>160.0</v>
      </c>
      <c r="B187" s="7" t="s">
        <v>329</v>
      </c>
      <c r="C187" s="6" t="s">
        <v>58</v>
      </c>
      <c r="D187" s="9" t="s">
        <v>330</v>
      </c>
      <c r="E187" s="11" t="s">
        <v>331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6">
        <v>161.0</v>
      </c>
      <c r="B188" s="7" t="s">
        <v>332</v>
      </c>
      <c r="C188" s="6" t="s">
        <v>313</v>
      </c>
      <c r="D188" s="9">
        <v>24.0</v>
      </c>
      <c r="E188" s="8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6">
        <v>162.0</v>
      </c>
      <c r="B189" s="7" t="s">
        <v>333</v>
      </c>
      <c r="C189" s="6" t="s">
        <v>313</v>
      </c>
      <c r="D189" s="9">
        <v>22.0</v>
      </c>
      <c r="E189" s="8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5" t="s">
        <v>334</v>
      </c>
      <c r="B190" s="12"/>
      <c r="C190" s="12"/>
      <c r="D190" s="13"/>
      <c r="E190" s="1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6">
        <v>163.0</v>
      </c>
      <c r="B191" s="7" t="s">
        <v>335</v>
      </c>
      <c r="C191" s="8"/>
      <c r="D191" s="9" t="s">
        <v>214</v>
      </c>
      <c r="E191" s="11" t="s">
        <v>336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5" t="s">
        <v>337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6">
        <v>164.0</v>
      </c>
      <c r="B193" s="7" t="s">
        <v>338</v>
      </c>
      <c r="C193" s="8"/>
      <c r="D193" s="9" t="s">
        <v>101</v>
      </c>
      <c r="E193" s="8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6">
        <v>165.0</v>
      </c>
      <c r="B194" s="7" t="s">
        <v>339</v>
      </c>
      <c r="C194" s="6" t="s">
        <v>85</v>
      </c>
      <c r="D194" s="9">
        <v>49.895</v>
      </c>
      <c r="E194" s="8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6">
        <v>166.0</v>
      </c>
      <c r="B195" s="7" t="s">
        <v>340</v>
      </c>
      <c r="C195" s="6" t="s">
        <v>32</v>
      </c>
      <c r="D195" s="9">
        <f>M16</f>
        <v>0.274744</v>
      </c>
      <c r="E195" s="11" t="s">
        <v>341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7" t="s">
        <v>342</v>
      </c>
      <c r="C196" s="6" t="s">
        <v>32</v>
      </c>
      <c r="D196" s="15">
        <f>N16</f>
        <v>0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7" t="s">
        <v>343</v>
      </c>
      <c r="C197" s="6" t="s">
        <v>32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6">
        <v>167.0</v>
      </c>
      <c r="B198" s="7" t="s">
        <v>344</v>
      </c>
      <c r="C198" s="8"/>
      <c r="D198" s="9" t="s">
        <v>211</v>
      </c>
      <c r="E198" s="11" t="s">
        <v>299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6">
        <v>168.0</v>
      </c>
      <c r="B199" s="7" t="s">
        <v>345</v>
      </c>
      <c r="C199" s="8"/>
      <c r="D199" s="9" t="s">
        <v>346</v>
      </c>
      <c r="E199" s="8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6">
        <v>169.0</v>
      </c>
      <c r="B200" s="7" t="s">
        <v>347</v>
      </c>
      <c r="C200" s="6" t="s">
        <v>85</v>
      </c>
      <c r="D200" s="9">
        <v>74.843</v>
      </c>
      <c r="E200" s="8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6">
        <v>170.0</v>
      </c>
      <c r="B201" s="7" t="s">
        <v>348</v>
      </c>
      <c r="C201" s="6" t="s">
        <v>32</v>
      </c>
      <c r="D201" s="9">
        <v>0.274744</v>
      </c>
      <c r="E201" s="8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7" t="s">
        <v>349</v>
      </c>
      <c r="C202" s="6" t="s">
        <v>32</v>
      </c>
      <c r="D202" s="15">
        <v>0.0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7" t="s">
        <v>350</v>
      </c>
      <c r="C203" s="6" t="s">
        <v>32</v>
      </c>
      <c r="D203" s="15">
        <f>O17</f>
        <v>-0.123691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6">
        <v>171.0</v>
      </c>
      <c r="B204" s="7" t="s">
        <v>351</v>
      </c>
      <c r="C204" s="8"/>
      <c r="D204" s="9" t="s">
        <v>211</v>
      </c>
      <c r="E204" s="11" t="s">
        <v>299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6">
        <v>172.0</v>
      </c>
      <c r="B205" s="7" t="s">
        <v>352</v>
      </c>
      <c r="C205" s="8"/>
      <c r="D205" s="9" t="s">
        <v>353</v>
      </c>
      <c r="E205" s="8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6">
        <v>173.0</v>
      </c>
      <c r="B206" s="7" t="s">
        <v>354</v>
      </c>
      <c r="C206" s="6" t="s">
        <v>85</v>
      </c>
      <c r="D206" s="9">
        <v>99.79</v>
      </c>
      <c r="E206" s="8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6">
        <v>174.0</v>
      </c>
      <c r="B207" s="7" t="s">
        <v>355</v>
      </c>
      <c r="C207" s="6" t="s">
        <v>32</v>
      </c>
      <c r="D207" s="9">
        <v>0.274744</v>
      </c>
      <c r="E207" s="11" t="s">
        <v>341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6">
        <v>175.0</v>
      </c>
      <c r="B208" s="7" t="s">
        <v>356</v>
      </c>
      <c r="C208" s="6" t="s">
        <v>32</v>
      </c>
      <c r="D208" s="15">
        <v>0.0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7" t="s">
        <v>357</v>
      </c>
      <c r="C209" s="6" t="s">
        <v>32</v>
      </c>
      <c r="D209" s="15">
        <f>O18</f>
        <v>-0.123334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7" t="s">
        <v>358</v>
      </c>
      <c r="C210" s="8"/>
      <c r="D210" s="9" t="s">
        <v>211</v>
      </c>
      <c r="E210" s="11" t="s">
        <v>299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</sheetData>
  <mergeCells count="5">
    <mergeCell ref="B1:E1"/>
    <mergeCell ref="B2:E2"/>
    <mergeCell ref="A5:E5"/>
    <mergeCell ref="G6:J21"/>
    <mergeCell ref="A192:E192"/>
  </mergeCells>
  <drawing r:id="rId1"/>
</worksheet>
</file>